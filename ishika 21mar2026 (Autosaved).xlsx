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asu jain\OneDrive\文档\"/>
    </mc:Choice>
  </mc:AlternateContent>
  <bookViews>
    <workbookView xWindow="0" yWindow="0" windowWidth="20490" windowHeight="7500" activeTab="3"/>
  </bookViews>
  <sheets>
    <sheet name="data " sheetId="1" r:id="rId1"/>
    <sheet name="city wise revenue " sheetId="6" r:id="rId2"/>
    <sheet name="sale by product " sheetId="4" r:id="rId3"/>
    <sheet name="dashboard analysis " sheetId="5" r:id="rId4"/>
    <sheet name="Quantity sold " sheetId="7" r:id="rId5"/>
    <sheet name="PRICE VS QUANTITY " sheetId="8" r:id="rId6"/>
  </sheets>
  <calcPr calcId="162913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7" l="1"/>
  <c r="C3" i="7"/>
  <c r="C4" i="7"/>
  <c r="C5" i="7"/>
  <c r="C6" i="7"/>
  <c r="C7" i="7"/>
  <c r="C8" i="7"/>
  <c r="C9" i="7"/>
  <c r="C10" i="7"/>
  <c r="C11" i="7"/>
  <c r="C2" i="7"/>
  <c r="F9" i="1"/>
  <c r="K19" i="1" l="1"/>
  <c r="K20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G9" i="1"/>
  <c r="F10" i="1"/>
  <c r="G10" i="1" s="1"/>
  <c r="F11" i="1"/>
  <c r="G11" i="1" s="1"/>
  <c r="K21" i="1"/>
  <c r="K22" i="1"/>
  <c r="Z13" i="1"/>
  <c r="F2" i="1"/>
  <c r="G2" i="1" s="1"/>
  <c r="AE13" i="1"/>
  <c r="AD13" i="1"/>
  <c r="AC13" i="1"/>
  <c r="AB13" i="1"/>
  <c r="AA13" i="1"/>
  <c r="Y13" i="1"/>
  <c r="X13" i="1"/>
  <c r="W13" i="1"/>
  <c r="V13" i="1"/>
  <c r="U13" i="1"/>
  <c r="T13" i="1"/>
  <c r="L30" i="1"/>
  <c r="L31" i="1"/>
  <c r="L32" i="1"/>
  <c r="L33" i="1"/>
  <c r="G12" i="1" l="1"/>
</calcChain>
</file>

<file path=xl/sharedStrings.xml><?xml version="1.0" encoding="utf-8"?>
<sst xmlns="http://schemas.openxmlformats.org/spreadsheetml/2006/main" count="83" uniqueCount="43">
  <si>
    <t xml:space="preserve">Order ID </t>
  </si>
  <si>
    <t xml:space="preserve">Date </t>
  </si>
  <si>
    <t>City</t>
  </si>
  <si>
    <t>Product</t>
  </si>
  <si>
    <t>Quantity</t>
  </si>
  <si>
    <t>Revenue</t>
  </si>
  <si>
    <t xml:space="preserve">Price </t>
  </si>
  <si>
    <t>Delhi</t>
  </si>
  <si>
    <t>Mumbai</t>
  </si>
  <si>
    <t>Bangalore</t>
  </si>
  <si>
    <t>Jaipur</t>
  </si>
  <si>
    <t>Lucknow</t>
  </si>
  <si>
    <t>Indore</t>
  </si>
  <si>
    <t>Bhopal</t>
  </si>
  <si>
    <t>Gurgaon</t>
  </si>
  <si>
    <t xml:space="preserve">Mobile Phone </t>
  </si>
  <si>
    <t xml:space="preserve">Hair Drier </t>
  </si>
  <si>
    <t xml:space="preserve">Speaker </t>
  </si>
  <si>
    <t>Power Bank</t>
  </si>
  <si>
    <t xml:space="preserve">Surat </t>
  </si>
  <si>
    <t xml:space="preserve">Washing Machine </t>
  </si>
  <si>
    <t/>
  </si>
  <si>
    <t xml:space="preserve">Noida </t>
  </si>
  <si>
    <t>Smart TV</t>
  </si>
  <si>
    <t>LED</t>
  </si>
  <si>
    <t>Trimmer</t>
  </si>
  <si>
    <t>Row Labels</t>
  </si>
  <si>
    <t>Sum of Revenue</t>
  </si>
  <si>
    <t>Fan</t>
  </si>
  <si>
    <t xml:space="preserve">Air Conditioner </t>
  </si>
  <si>
    <t>Grand Total</t>
  </si>
  <si>
    <t>Sum of Quantity</t>
  </si>
  <si>
    <t xml:space="preserve">Percentage </t>
  </si>
  <si>
    <t>18-Oct</t>
  </si>
  <si>
    <t>22-Oct</t>
  </si>
  <si>
    <t>24-Oct</t>
  </si>
  <si>
    <t>15-Oct</t>
  </si>
  <si>
    <t>11-Oct</t>
  </si>
  <si>
    <t>12-Sep</t>
  </si>
  <si>
    <t>23-Sep</t>
  </si>
  <si>
    <t>26-Sep</t>
  </si>
  <si>
    <t>01-Oct</t>
  </si>
  <si>
    <t>05-Oct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</si>
</sst>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9" fontId="0" fillId="0" borderId="0" xfId="1" applyFont="1"/>
    <xf numFmtId="14" fontId="0" fillId="0" borderId="0" xfId="0" applyNumberFormat="1" applyAlignment="1">
      <alignment horizontal="left"/>
    </xf>
    <xf numFmtId="15" fontId="0" fillId="0" borderId="0" xfId="0" applyNumberFormat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[ishika 21mar2026 (Autosaved).xlsx]city wise revenue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wise revenue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wise revenue '!$A$2:$A$11</c:f>
              <c:strCache>
                <c:ptCount val="10"/>
                <c:pt idx="0">
                  <c:v>Bangalore</c:v>
                </c:pt>
                <c:pt idx="1">
                  <c:v>Bhopal</c:v>
                </c:pt>
                <c:pt idx="2">
                  <c:v>Delhi</c:v>
                </c:pt>
                <c:pt idx="3">
                  <c:v>Gurgaon</c:v>
                </c:pt>
                <c:pt idx="4">
                  <c:v>Indore</c:v>
                </c:pt>
                <c:pt idx="5">
                  <c:v>Jaipur</c:v>
                </c:pt>
                <c:pt idx="6">
                  <c:v>Lucknow</c:v>
                </c:pt>
                <c:pt idx="7">
                  <c:v>Mumbai</c:v>
                </c:pt>
                <c:pt idx="8">
                  <c:v>Noida </c:v>
                </c:pt>
                <c:pt idx="9">
                  <c:v>Surat </c:v>
                </c:pt>
              </c:strCache>
            </c:strRef>
          </c:cat>
          <c:val>
            <c:numRef>
              <c:f>'city wise revenue '!$B$2:$B$11</c:f>
              <c:numCache>
                <c:formatCode>General</c:formatCode>
                <c:ptCount val="10"/>
                <c:pt idx="0">
                  <c:v>37500</c:v>
                </c:pt>
                <c:pt idx="1">
                  <c:v>279000</c:v>
                </c:pt>
                <c:pt idx="2">
                  <c:v>48000</c:v>
                </c:pt>
                <c:pt idx="3">
                  <c:v>1200</c:v>
                </c:pt>
                <c:pt idx="4">
                  <c:v>20400</c:v>
                </c:pt>
                <c:pt idx="5">
                  <c:v>210000</c:v>
                </c:pt>
                <c:pt idx="6">
                  <c:v>30600</c:v>
                </c:pt>
                <c:pt idx="7">
                  <c:v>44600</c:v>
                </c:pt>
                <c:pt idx="8">
                  <c:v>140000</c:v>
                </c:pt>
                <c:pt idx="9">
                  <c:v>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9-4063-8ACB-FCB2F6241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093600"/>
        <c:axId val="1907091104"/>
      </c:barChart>
      <c:catAx>
        <c:axId val="190709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091104"/>
        <c:crosses val="autoZero"/>
        <c:auto val="1"/>
        <c:lblAlgn val="ctr"/>
        <c:lblOffset val="100"/>
        <c:noMultiLvlLbl val="0"/>
      </c:catAx>
      <c:valAx>
        <c:axId val="190709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09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[ishika 21mar2026 (Autosaved).xlsx]sale by product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 by product 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>
              <a:noFill/>
            </a:ln>
            <a:effectLst>
              <a:outerShdw blurRad="50800" dist="38100" dir="14700000" algn="t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'sale by product '!$A$2:$A$11</c:f>
              <c:strCache>
                <c:ptCount val="10"/>
                <c:pt idx="0">
                  <c:v>Air Conditioner </c:v>
                </c:pt>
                <c:pt idx="1">
                  <c:v>Fan</c:v>
                </c:pt>
                <c:pt idx="2">
                  <c:v>Hair Drier </c:v>
                </c:pt>
                <c:pt idx="3">
                  <c:v>LED</c:v>
                </c:pt>
                <c:pt idx="4">
                  <c:v>Mobile Phone </c:v>
                </c:pt>
                <c:pt idx="5">
                  <c:v>Power Bank</c:v>
                </c:pt>
                <c:pt idx="6">
                  <c:v>Smart TV</c:v>
                </c:pt>
                <c:pt idx="7">
                  <c:v>Speaker </c:v>
                </c:pt>
                <c:pt idx="8">
                  <c:v>Trimmer</c:v>
                </c:pt>
                <c:pt idx="9">
                  <c:v>Washing Machine </c:v>
                </c:pt>
              </c:strCache>
            </c:strRef>
          </c:cat>
          <c:val>
            <c:numRef>
              <c:f>'sale by product '!$B$2:$B$11</c:f>
              <c:numCache>
                <c:formatCode>General</c:formatCode>
                <c:ptCount val="10"/>
                <c:pt idx="0">
                  <c:v>1200</c:v>
                </c:pt>
                <c:pt idx="1">
                  <c:v>20400</c:v>
                </c:pt>
                <c:pt idx="2">
                  <c:v>48000</c:v>
                </c:pt>
                <c:pt idx="3">
                  <c:v>140000</c:v>
                </c:pt>
                <c:pt idx="4">
                  <c:v>44600</c:v>
                </c:pt>
                <c:pt idx="5">
                  <c:v>30600</c:v>
                </c:pt>
                <c:pt idx="6">
                  <c:v>6250</c:v>
                </c:pt>
                <c:pt idx="7">
                  <c:v>37500</c:v>
                </c:pt>
                <c:pt idx="8">
                  <c:v>279000</c:v>
                </c:pt>
                <c:pt idx="9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A-46A9-8288-7C45B7172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73742768"/>
        <c:axId val="1973741104"/>
      </c:barChart>
      <c:catAx>
        <c:axId val="197374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741104"/>
        <c:crosses val="autoZero"/>
        <c:auto val="1"/>
        <c:lblAlgn val="ctr"/>
        <c:lblOffset val="100"/>
        <c:noMultiLvlLbl val="0"/>
      </c:catAx>
      <c:valAx>
        <c:axId val="197374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74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[ishika 21mar2026 (Autosaved).xlsx]sale by product 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 by product 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>
              <a:noFill/>
            </a:ln>
            <a:effectLst>
              <a:outerShdw blurRad="50800" dist="38100" dir="14700000" algn="t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'sale by product '!$A$2:$A$11</c:f>
              <c:strCache>
                <c:ptCount val="10"/>
                <c:pt idx="0">
                  <c:v>Air Conditioner </c:v>
                </c:pt>
                <c:pt idx="1">
                  <c:v>Fan</c:v>
                </c:pt>
                <c:pt idx="2">
                  <c:v>Hair Drier </c:v>
                </c:pt>
                <c:pt idx="3">
                  <c:v>LED</c:v>
                </c:pt>
                <c:pt idx="4">
                  <c:v>Mobile Phone </c:v>
                </c:pt>
                <c:pt idx="5">
                  <c:v>Power Bank</c:v>
                </c:pt>
                <c:pt idx="6">
                  <c:v>Smart TV</c:v>
                </c:pt>
                <c:pt idx="7">
                  <c:v>Speaker </c:v>
                </c:pt>
                <c:pt idx="8">
                  <c:v>Trimmer</c:v>
                </c:pt>
                <c:pt idx="9">
                  <c:v>Washing Machine </c:v>
                </c:pt>
              </c:strCache>
            </c:strRef>
          </c:cat>
          <c:val>
            <c:numRef>
              <c:f>'sale by product '!$B$2:$B$11</c:f>
              <c:numCache>
                <c:formatCode>General</c:formatCode>
                <c:ptCount val="10"/>
                <c:pt idx="0">
                  <c:v>1200</c:v>
                </c:pt>
                <c:pt idx="1">
                  <c:v>20400</c:v>
                </c:pt>
                <c:pt idx="2">
                  <c:v>48000</c:v>
                </c:pt>
                <c:pt idx="3">
                  <c:v>140000</c:v>
                </c:pt>
                <c:pt idx="4">
                  <c:v>44600</c:v>
                </c:pt>
                <c:pt idx="5">
                  <c:v>30600</c:v>
                </c:pt>
                <c:pt idx="6">
                  <c:v>6250</c:v>
                </c:pt>
                <c:pt idx="7">
                  <c:v>37500</c:v>
                </c:pt>
                <c:pt idx="8">
                  <c:v>279000</c:v>
                </c:pt>
                <c:pt idx="9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5-42E8-908B-CD6B02B2C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73742768"/>
        <c:axId val="1973741104"/>
      </c:barChart>
      <c:catAx>
        <c:axId val="197374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741104"/>
        <c:crosses val="autoZero"/>
        <c:auto val="1"/>
        <c:lblAlgn val="ctr"/>
        <c:lblOffset val="100"/>
        <c:noMultiLvlLbl val="0"/>
      </c:catAx>
      <c:valAx>
        <c:axId val="197374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74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[ishika 21mar2026 (Autosaved).xlsx]city wise revenue 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602469234806145"/>
          <c:y val="0.14375030186114457"/>
          <c:w val="0.81667826405420252"/>
          <c:h val="0.614952610090405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'city wise revenue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wise revenue '!$A$2:$A$11</c:f>
              <c:strCache>
                <c:ptCount val="10"/>
                <c:pt idx="0">
                  <c:v>Bangalore</c:v>
                </c:pt>
                <c:pt idx="1">
                  <c:v>Bhopal</c:v>
                </c:pt>
                <c:pt idx="2">
                  <c:v>Delhi</c:v>
                </c:pt>
                <c:pt idx="3">
                  <c:v>Gurgaon</c:v>
                </c:pt>
                <c:pt idx="4">
                  <c:v>Indore</c:v>
                </c:pt>
                <c:pt idx="5">
                  <c:v>Jaipur</c:v>
                </c:pt>
                <c:pt idx="6">
                  <c:v>Lucknow</c:v>
                </c:pt>
                <c:pt idx="7">
                  <c:v>Mumbai</c:v>
                </c:pt>
                <c:pt idx="8">
                  <c:v>Noida </c:v>
                </c:pt>
                <c:pt idx="9">
                  <c:v>Surat </c:v>
                </c:pt>
              </c:strCache>
            </c:strRef>
          </c:cat>
          <c:val>
            <c:numRef>
              <c:f>'city wise revenue '!$B$2:$B$11</c:f>
              <c:numCache>
                <c:formatCode>General</c:formatCode>
                <c:ptCount val="10"/>
                <c:pt idx="0">
                  <c:v>37500</c:v>
                </c:pt>
                <c:pt idx="1">
                  <c:v>279000</c:v>
                </c:pt>
                <c:pt idx="2">
                  <c:v>48000</c:v>
                </c:pt>
                <c:pt idx="3">
                  <c:v>1200</c:v>
                </c:pt>
                <c:pt idx="4">
                  <c:v>20400</c:v>
                </c:pt>
                <c:pt idx="5">
                  <c:v>210000</c:v>
                </c:pt>
                <c:pt idx="6">
                  <c:v>30600</c:v>
                </c:pt>
                <c:pt idx="7">
                  <c:v>44600</c:v>
                </c:pt>
                <c:pt idx="8">
                  <c:v>140000</c:v>
                </c:pt>
                <c:pt idx="9">
                  <c:v>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0-4F14-A7B5-8F7ABD7F1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093600"/>
        <c:axId val="1907091104"/>
      </c:barChart>
      <c:catAx>
        <c:axId val="190709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091104"/>
        <c:crosses val="autoZero"/>
        <c:auto val="1"/>
        <c:lblAlgn val="ctr"/>
        <c:lblOffset val="100"/>
        <c:noMultiLvlLbl val="0"/>
      </c:catAx>
      <c:valAx>
        <c:axId val="190709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09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[ishika 21mar2026 (Autosaved).xlsx]Quantity sold 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QUANTITY SOLD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3.1274618050703418E-2"/>
              <c:y val="6.7025736366287461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10647984936796806"/>
              <c:y val="-4.7138378536018032E-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9.591757446099974E-3"/>
              <c:y val="3.9535943423738701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1.5795478801410835E-2"/>
              <c:y val="2.868073782443861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2.9463014707156718E-2"/>
              <c:y val="-1.4720764071157771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9.5676261349120183E-3"/>
              <c:y val="-3.8126275882181565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1.7041093209821969E-2"/>
              <c:y val="5.7541921843102861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3.5841578380802182E-3"/>
              <c:y val="1.646908719743365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5.0636046519025452E-2"/>
              <c:y val="5.9120734908136484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3.1971793568479068E-3"/>
              <c:y val="6.812919218431025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'Quantity sold 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67-4A9A-BD72-22F38D4D91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67-4A9A-BD72-22F38D4D91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67-4A9A-BD72-22F38D4D91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67-4A9A-BD72-22F38D4D91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67-4A9A-BD72-22F38D4D91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467-4A9A-BD72-22F38D4D91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467-4A9A-BD72-22F38D4D913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467-4A9A-BD72-22F38D4D913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467-4A9A-BD72-22F38D4D913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467-4A9A-BD72-22F38D4D913A}"/>
              </c:ext>
            </c:extLst>
          </c:dPt>
          <c:dLbls>
            <c:delete val="1"/>
          </c:dLbls>
          <c:cat>
            <c:strRef>
              <c:f>'Quantity sold '!$A$2:$A$12</c:f>
              <c:strCache>
                <c:ptCount val="10"/>
                <c:pt idx="0">
                  <c:v>Air Conditioner </c:v>
                </c:pt>
                <c:pt idx="1">
                  <c:v>Fan</c:v>
                </c:pt>
                <c:pt idx="2">
                  <c:v>Hair Drier </c:v>
                </c:pt>
                <c:pt idx="3">
                  <c:v>LED</c:v>
                </c:pt>
                <c:pt idx="4">
                  <c:v>Mobile Phone </c:v>
                </c:pt>
                <c:pt idx="5">
                  <c:v>Power Bank</c:v>
                </c:pt>
                <c:pt idx="6">
                  <c:v>Smart TV</c:v>
                </c:pt>
                <c:pt idx="7">
                  <c:v>Speaker </c:v>
                </c:pt>
                <c:pt idx="8">
                  <c:v>Trimmer</c:v>
                </c:pt>
                <c:pt idx="9">
                  <c:v>Washing Machine </c:v>
                </c:pt>
              </c:strCache>
            </c:strRef>
          </c:cat>
          <c:val>
            <c:numRef>
              <c:f>'Quantity sold '!$B$2:$B$12</c:f>
              <c:numCache>
                <c:formatCode>General</c:formatCode>
                <c:ptCount val="10"/>
                <c:pt idx="0">
                  <c:v>1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9</c:v>
                </c:pt>
                <c:pt idx="6">
                  <c:v>5</c:v>
                </c:pt>
                <c:pt idx="7">
                  <c:v>3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467-4A9A-BD72-22F38D4D913A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[ishika 21mar2026 (Autosaved).xlsx]Quantity sold !PivotTable3</c:name>
    <c:fmtId val="1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3577545021200674"/>
          <c:y val="0.14815034072220654"/>
          <c:w val="0.83419429382144139"/>
          <c:h val="0.73799567604117544"/>
        </c:manualLayout>
      </c:layout>
      <c:lineChart>
        <c:grouping val="standard"/>
        <c:varyColors val="0"/>
        <c:ser>
          <c:idx val="0"/>
          <c:order val="0"/>
          <c:tx>
            <c:strRef>
              <c:f>'Quantity sold '!$B$21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'Quantity sold '!$A$22:$A$31</c:f>
              <c:strCache>
                <c:ptCount val="10"/>
                <c:pt idx="0">
                  <c:v>01-Oct</c:v>
                </c:pt>
                <c:pt idx="1">
                  <c:v>05-Oct</c:v>
                </c:pt>
                <c:pt idx="2">
                  <c:v>11-Oct</c:v>
                </c:pt>
                <c:pt idx="3">
                  <c:v>12-Sep</c:v>
                </c:pt>
                <c:pt idx="4">
                  <c:v>15-Oct</c:v>
                </c:pt>
                <c:pt idx="5">
                  <c:v>18-Oct</c:v>
                </c:pt>
                <c:pt idx="6">
                  <c:v>22-Oct</c:v>
                </c:pt>
                <c:pt idx="7">
                  <c:v>23-Sep</c:v>
                </c:pt>
                <c:pt idx="8">
                  <c:v>24-Oct</c:v>
                </c:pt>
                <c:pt idx="9">
                  <c:v>26-Sep</c:v>
                </c:pt>
              </c:strCache>
            </c:strRef>
          </c:cat>
          <c:val>
            <c:numRef>
              <c:f>'Quantity sold '!$B$22:$B$31</c:f>
              <c:numCache>
                <c:formatCode>General</c:formatCode>
                <c:ptCount val="10"/>
                <c:pt idx="0">
                  <c:v>30600</c:v>
                </c:pt>
                <c:pt idx="1">
                  <c:v>20400</c:v>
                </c:pt>
                <c:pt idx="2">
                  <c:v>1200</c:v>
                </c:pt>
                <c:pt idx="3">
                  <c:v>48000</c:v>
                </c:pt>
                <c:pt idx="4">
                  <c:v>210000</c:v>
                </c:pt>
                <c:pt idx="5">
                  <c:v>140000</c:v>
                </c:pt>
                <c:pt idx="6">
                  <c:v>6250</c:v>
                </c:pt>
                <c:pt idx="7">
                  <c:v>44600</c:v>
                </c:pt>
                <c:pt idx="8">
                  <c:v>279000</c:v>
                </c:pt>
                <c:pt idx="9">
                  <c:v>37500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C6-4BB9-A008-CB0C80D82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735871"/>
        <c:axId val="2052726303"/>
      </c:lineChart>
      <c:catAx>
        <c:axId val="205273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726303"/>
        <c:crosses val="autoZero"/>
        <c:auto val="1"/>
        <c:lblAlgn val="ctr"/>
        <c:lblOffset val="100"/>
        <c:noMultiLvlLbl val="0"/>
      </c:catAx>
      <c:valAx>
        <c:axId val="2052726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735871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[ishika 21mar2026 (Autosaved).xlsx]PRICE VS QUANTITY 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V/S QUANTITY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'PRICE VS QUANTITY '!$D$4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'PRICE VS QUANTITY '!$C$5:$C$13</c:f>
              <c:strCache>
                <c:ptCount val="9"/>
                <c:pt idx="0">
                  <c:v>1200</c:v>
                </c:pt>
                <c:pt idx="1">
                  <c:v>1250</c:v>
                </c:pt>
                <c:pt idx="2">
                  <c:v>3400</c:v>
                </c:pt>
                <c:pt idx="3">
                  <c:v>12000</c:v>
                </c:pt>
                <c:pt idx="4">
                  <c:v>12500</c:v>
                </c:pt>
                <c:pt idx="5">
                  <c:v>21000</c:v>
                </c:pt>
                <c:pt idx="6">
                  <c:v>22300</c:v>
                </c:pt>
                <c:pt idx="7">
                  <c:v>27900</c:v>
                </c:pt>
                <c:pt idx="8">
                  <c:v>35000</c:v>
                </c:pt>
              </c:strCache>
            </c:strRef>
          </c:cat>
          <c:val>
            <c:numRef>
              <c:f>'PRICE VS QUANTITY '!$D$5:$D$13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4</c:v>
                </c:pt>
                <c:pt idx="4">
                  <c:v>3</c:v>
                </c:pt>
                <c:pt idx="5">
                  <c:v>10</c:v>
                </c:pt>
                <c:pt idx="6">
                  <c:v>2</c:v>
                </c:pt>
                <c:pt idx="7">
                  <c:v>10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2E-4641-AE66-B24D06DF4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3421007"/>
        <c:axId val="1753411439"/>
      </c:lineChart>
      <c:catAx>
        <c:axId val="175342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411439"/>
        <c:crosses val="autoZero"/>
        <c:auto val="1"/>
        <c:lblAlgn val="ctr"/>
        <c:lblOffset val="100"/>
        <c:noMultiLvlLbl val="0"/>
      </c:catAx>
      <c:valAx>
        <c:axId val="1753411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42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[ishika 21mar2026 (Autosaved).xlsx]Quantity sold 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QUANTITY SOLD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3.1274618050703418E-2"/>
              <c:y val="6.7025736366287461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10647984936796806"/>
              <c:y val="-4.7138378536018032E-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9.591757446099974E-3"/>
              <c:y val="3.9535943423738701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1.5795478801410835E-2"/>
              <c:y val="2.868073782443861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2.9463014707156718E-2"/>
              <c:y val="-1.4720764071157771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9.5676261349120183E-3"/>
              <c:y val="-3.8126275882181565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1.7041093209821969E-2"/>
              <c:y val="5.7541921843102861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3.5841578380802182E-3"/>
              <c:y val="1.646908719743365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5.0636046519025452E-2"/>
              <c:y val="5.9120734908136484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3.1971793568479068E-3"/>
              <c:y val="6.812919218431025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'Quantity sold 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0FE-42FE-8193-B341A863A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FE-42FE-8193-B341A863A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FE-42FE-8193-B341A863A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0FE-42FE-8193-B341A863A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FE-42FE-8193-B341A863A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0FE-42FE-8193-B341A863A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FE-42FE-8193-B341A863A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FE-42FE-8193-B341A863A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0FE-42FE-8193-B341A863A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0FE-42FE-8193-B341A863A22A}"/>
              </c:ext>
            </c:extLst>
          </c:dPt>
          <c:dLbls>
            <c:delete val="1"/>
          </c:dLbls>
          <c:cat>
            <c:strRef>
              <c:f>'Quantity sold '!$A$2:$A$12</c:f>
              <c:strCache>
                <c:ptCount val="10"/>
                <c:pt idx="0">
                  <c:v>Air Conditioner </c:v>
                </c:pt>
                <c:pt idx="1">
                  <c:v>Fan</c:v>
                </c:pt>
                <c:pt idx="2">
                  <c:v>Hair Drier </c:v>
                </c:pt>
                <c:pt idx="3">
                  <c:v>LED</c:v>
                </c:pt>
                <c:pt idx="4">
                  <c:v>Mobile Phone </c:v>
                </c:pt>
                <c:pt idx="5">
                  <c:v>Power Bank</c:v>
                </c:pt>
                <c:pt idx="6">
                  <c:v>Smart TV</c:v>
                </c:pt>
                <c:pt idx="7">
                  <c:v>Speaker </c:v>
                </c:pt>
                <c:pt idx="8">
                  <c:v>Trimmer</c:v>
                </c:pt>
                <c:pt idx="9">
                  <c:v>Washing Machine </c:v>
                </c:pt>
              </c:strCache>
            </c:strRef>
          </c:cat>
          <c:val>
            <c:numRef>
              <c:f>'Quantity sold '!$B$2:$B$12</c:f>
              <c:numCache>
                <c:formatCode>General</c:formatCode>
                <c:ptCount val="10"/>
                <c:pt idx="0">
                  <c:v>1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9</c:v>
                </c:pt>
                <c:pt idx="6">
                  <c:v>5</c:v>
                </c:pt>
                <c:pt idx="7">
                  <c:v>3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E-42FE-8193-B341A863A22A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[ishika 21mar2026 (Autosaved).xlsx]Quantity sold 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'Quantity sold '!$B$21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'Quantity sold '!$A$22:$A$31</c:f>
              <c:strCache>
                <c:ptCount val="10"/>
                <c:pt idx="0">
                  <c:v>01-Oct</c:v>
                </c:pt>
                <c:pt idx="1">
                  <c:v>05-Oct</c:v>
                </c:pt>
                <c:pt idx="2">
                  <c:v>11-Oct</c:v>
                </c:pt>
                <c:pt idx="3">
                  <c:v>12-Sep</c:v>
                </c:pt>
                <c:pt idx="4">
                  <c:v>15-Oct</c:v>
                </c:pt>
                <c:pt idx="5">
                  <c:v>18-Oct</c:v>
                </c:pt>
                <c:pt idx="6">
                  <c:v>22-Oct</c:v>
                </c:pt>
                <c:pt idx="7">
                  <c:v>23-Sep</c:v>
                </c:pt>
                <c:pt idx="8">
                  <c:v>24-Oct</c:v>
                </c:pt>
                <c:pt idx="9">
                  <c:v>26-Sep</c:v>
                </c:pt>
              </c:strCache>
            </c:strRef>
          </c:cat>
          <c:val>
            <c:numRef>
              <c:f>'Quantity sold '!$B$22:$B$31</c:f>
              <c:numCache>
                <c:formatCode>General</c:formatCode>
                <c:ptCount val="10"/>
                <c:pt idx="0">
                  <c:v>30600</c:v>
                </c:pt>
                <c:pt idx="1">
                  <c:v>20400</c:v>
                </c:pt>
                <c:pt idx="2">
                  <c:v>1200</c:v>
                </c:pt>
                <c:pt idx="3">
                  <c:v>48000</c:v>
                </c:pt>
                <c:pt idx="4">
                  <c:v>210000</c:v>
                </c:pt>
                <c:pt idx="5">
                  <c:v>140000</c:v>
                </c:pt>
                <c:pt idx="6">
                  <c:v>6250</c:v>
                </c:pt>
                <c:pt idx="7">
                  <c:v>44600</c:v>
                </c:pt>
                <c:pt idx="8">
                  <c:v>279000</c:v>
                </c:pt>
                <c:pt idx="9">
                  <c:v>37500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66-4F6A-A89F-A7AD1D797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735871"/>
        <c:axId val="2052726303"/>
      </c:lineChart>
      <c:catAx>
        <c:axId val="205273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726303"/>
        <c:crosses val="autoZero"/>
        <c:auto val="1"/>
        <c:lblAlgn val="ctr"/>
        <c:lblOffset val="100"/>
        <c:noMultiLvlLbl val="0"/>
      </c:catAx>
      <c:valAx>
        <c:axId val="2052726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73587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[ishika 21mar2026 (Autosaved).xlsx]PRICE VS QUANTITY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V/S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'PRICE VS QUANTITY '!$D$4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'PRICE VS QUANTITY '!$C$5:$C$13</c:f>
              <c:strCache>
                <c:ptCount val="9"/>
                <c:pt idx="0">
                  <c:v>1200</c:v>
                </c:pt>
                <c:pt idx="1">
                  <c:v>1250</c:v>
                </c:pt>
                <c:pt idx="2">
                  <c:v>3400</c:v>
                </c:pt>
                <c:pt idx="3">
                  <c:v>12000</c:v>
                </c:pt>
                <c:pt idx="4">
                  <c:v>12500</c:v>
                </c:pt>
                <c:pt idx="5">
                  <c:v>21000</c:v>
                </c:pt>
                <c:pt idx="6">
                  <c:v>22300</c:v>
                </c:pt>
                <c:pt idx="7">
                  <c:v>27900</c:v>
                </c:pt>
                <c:pt idx="8">
                  <c:v>35000</c:v>
                </c:pt>
              </c:strCache>
            </c:strRef>
          </c:cat>
          <c:val>
            <c:numRef>
              <c:f>'PRICE VS QUANTITY '!$D$5:$D$13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4</c:v>
                </c:pt>
                <c:pt idx="4">
                  <c:v>3</c:v>
                </c:pt>
                <c:pt idx="5">
                  <c:v>10</c:v>
                </c:pt>
                <c:pt idx="6">
                  <c:v>2</c:v>
                </c:pt>
                <c:pt idx="7">
                  <c:v>10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72-4BC3-8509-B5D2E897B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3421007"/>
        <c:axId val="1753411439"/>
      </c:lineChart>
      <c:catAx>
        <c:axId val="175342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411439"/>
        <c:crosses val="autoZero"/>
        <c:auto val="1"/>
        <c:lblAlgn val="ctr"/>
        <c:lblOffset val="100"/>
        <c:noMultiLvlLbl val="0"/>
      </c:catAx>
      <c:valAx>
        <c:axId val="1753411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42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319087</xdr:colOff>
      <xdr:row>2</xdr:row>
      <xdr:rowOff>114300</xdr:rowOff>
    </xdr:from>
    <xdr:to>
      <xdr:col>11</xdr:col>
      <xdr:colOff>14287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500062</xdr:colOff>
      <xdr:row>1</xdr:row>
      <xdr:rowOff>0</xdr:rowOff>
    </xdr:from>
    <xdr:to>
      <xdr:col>11</xdr:col>
      <xdr:colOff>195262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409875</xdr:colOff>
      <xdr:row>23</xdr:row>
      <xdr:rowOff>1</xdr:rowOff>
    </xdr:from>
    <xdr:to>
      <xdr:col>20</xdr:col>
      <xdr:colOff>223755</xdr:colOff>
      <xdr:row>37</xdr:row>
      <xdr:rowOff>151908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290812</xdr:colOff>
      <xdr:row>22</xdr:row>
      <xdr:rowOff>109568</xdr:rowOff>
    </xdr:from>
    <xdr:to>
      <xdr:col>12</xdr:col>
      <xdr:colOff>19844</xdr:colOff>
      <xdr:row>36</xdr:row>
      <xdr:rowOff>188717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377749</xdr:colOff>
      <xdr:row>6</xdr:row>
      <xdr:rowOff>97903</xdr:rowOff>
    </xdr:from>
    <xdr:to>
      <xdr:col>20</xdr:col>
      <xdr:colOff>199806</xdr:colOff>
      <xdr:row>21</xdr:row>
      <xdr:rowOff>90323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600208</xdr:colOff>
      <xdr:row>6</xdr:row>
      <xdr:rowOff>112853</xdr:rowOff>
    </xdr:from>
    <xdr:to>
      <xdr:col>28</xdr:col>
      <xdr:colOff>330933</xdr:colOff>
      <xdr:row>21</xdr:row>
      <xdr:rowOff>58612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300710</xdr:colOff>
      <xdr:row>6</xdr:row>
      <xdr:rowOff>39689</xdr:rowOff>
    </xdr:from>
    <xdr:to>
      <xdr:col>12</xdr:col>
      <xdr:colOff>29384</xdr:colOff>
      <xdr:row>20</xdr:row>
      <xdr:rowOff>180938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574253</xdr:colOff>
      <xdr:row>0</xdr:row>
      <xdr:rowOff>137692</xdr:rowOff>
    </xdr:from>
    <xdr:to>
      <xdr:col>9</xdr:col>
      <xdr:colOff>11339</xdr:colOff>
      <xdr:row>5</xdr:row>
      <xdr:rowOff>77755</xdr:rowOff>
    </xdr:to>
    <xdr:sp macro="" textlink="">
      <xdr:nvSpPr>
        <xdr:cNvPr id="8" name="Rectangle 7"/>
        <xdr:cNvSpPr/>
      </xdr:nvSpPr>
      <xdr:spPr>
        <a:xfrm>
          <a:off x="2984661" y="137692"/>
          <a:ext cx="2450096" cy="912002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    Total Revenue</a:t>
          </a:r>
        </a:p>
        <a:p>
          <a:pPr algn="l"/>
          <a:r>
            <a:rPr lang="en-IN" sz="2400"/>
            <a:t>      ₹6,08,250</a:t>
          </a:r>
        </a:p>
        <a:p>
          <a:pPr algn="l"/>
          <a:endParaRPr lang="en-IN" sz="2400"/>
        </a:p>
      </xdr:txBody>
    </xdr:sp>
    <xdr:clientData/>
  </xdr:twoCellAnchor>
  <xdr:twoCellAnchor>
    <xdr:from>
      <xdr:col>10</xdr:col>
      <xdr:colOff>450737</xdr:colOff>
      <xdr:row>0</xdr:row>
      <xdr:rowOff>137285</xdr:rowOff>
    </xdr:from>
    <xdr:to>
      <xdr:col>15</xdr:col>
      <xdr:colOff>86260</xdr:colOff>
      <xdr:row>5</xdr:row>
      <xdr:rowOff>58316</xdr:rowOff>
    </xdr:to>
    <xdr:sp macro="" textlink="">
      <xdr:nvSpPr>
        <xdr:cNvPr id="10" name="Rectangle 9"/>
        <xdr:cNvSpPr/>
      </xdr:nvSpPr>
      <xdr:spPr>
        <a:xfrm>
          <a:off x="6476757" y="137285"/>
          <a:ext cx="2648534" cy="89297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/>
            <a:t>Top Product</a:t>
          </a:r>
        </a:p>
        <a:p>
          <a:pPr algn="ctr"/>
          <a:r>
            <a:rPr lang="en-IN" sz="2400"/>
            <a:t>LED (</a:t>
          </a:r>
          <a:r>
            <a:rPr lang="en-I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</a:t>
          </a:r>
          <a:r>
            <a:rPr lang="en-IN" sz="2400"/>
            <a:t>350000)</a:t>
          </a:r>
        </a:p>
      </xdr:txBody>
    </xdr:sp>
    <xdr:clientData/>
  </xdr:twoCellAnchor>
  <xdr:twoCellAnchor>
    <xdr:from>
      <xdr:col>16</xdr:col>
      <xdr:colOff>488804</xdr:colOff>
      <xdr:row>0</xdr:row>
      <xdr:rowOff>155916</xdr:rowOff>
    </xdr:from>
    <xdr:to>
      <xdr:col>21</xdr:col>
      <xdr:colOff>389585</xdr:colOff>
      <xdr:row>5</xdr:row>
      <xdr:rowOff>77754</xdr:rowOff>
    </xdr:to>
    <xdr:sp macro="" textlink="">
      <xdr:nvSpPr>
        <xdr:cNvPr id="11" name="Rectangle 10"/>
        <xdr:cNvSpPr/>
      </xdr:nvSpPr>
      <xdr:spPr>
        <a:xfrm>
          <a:off x="10130437" y="155916"/>
          <a:ext cx="2913791" cy="89377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0"/>
            <a:t>Total Quantity Sold</a:t>
          </a:r>
        </a:p>
        <a:p>
          <a:pPr algn="ctr"/>
          <a:r>
            <a:rPr lang="en-IN" sz="2400" b="0"/>
            <a:t>45 Units </a:t>
          </a:r>
        </a:p>
      </xdr:txBody>
    </xdr:sp>
    <xdr:clientData/>
  </xdr:twoCellAnchor>
  <xdr:twoCellAnchor>
    <xdr:from>
      <xdr:col>23</xdr:col>
      <xdr:colOff>97193</xdr:colOff>
      <xdr:row>1</xdr:row>
      <xdr:rowOff>403</xdr:rowOff>
    </xdr:from>
    <xdr:to>
      <xdr:col>27</xdr:col>
      <xdr:colOff>583973</xdr:colOff>
      <xdr:row>5</xdr:row>
      <xdr:rowOff>97194</xdr:rowOff>
    </xdr:to>
    <xdr:sp macro="" textlink="">
      <xdr:nvSpPr>
        <xdr:cNvPr id="12" name="Rectangle 11"/>
        <xdr:cNvSpPr/>
      </xdr:nvSpPr>
      <xdr:spPr>
        <a:xfrm>
          <a:off x="13957040" y="194791"/>
          <a:ext cx="2897188" cy="874342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/>
            <a:t>Total Price</a:t>
          </a:r>
        </a:p>
        <a:p>
          <a:pPr algn="ctr"/>
          <a:r>
            <a:rPr lang="en-IN" sz="2400" b="0"/>
            <a:t> </a:t>
          </a:r>
          <a:r>
            <a:rPr lang="en-IN" sz="2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</a:t>
          </a:r>
          <a:r>
            <a:rPr lang="en-IN" sz="2400" b="0"/>
            <a:t>139,950</a:t>
          </a:r>
        </a:p>
      </xdr:txBody>
    </xdr:sp>
    <xdr:clientData/>
  </xdr:twoCellAnchor>
  <xdr:twoCellAnchor>
    <xdr:from>
      <xdr:col>1</xdr:col>
      <xdr:colOff>38878</xdr:colOff>
      <xdr:row>4</xdr:row>
      <xdr:rowOff>77756</xdr:rowOff>
    </xdr:from>
    <xdr:to>
      <xdr:col>1</xdr:col>
      <xdr:colOff>84597</xdr:colOff>
      <xdr:row>7</xdr:row>
      <xdr:rowOff>1</xdr:rowOff>
    </xdr:to>
    <xdr:sp macro="" textlink="">
      <xdr:nvSpPr>
        <xdr:cNvPr id="14" name="TextBox 13"/>
        <xdr:cNvSpPr txBox="1"/>
      </xdr:nvSpPr>
      <xdr:spPr>
        <a:xfrm>
          <a:off x="641480" y="855307"/>
          <a:ext cx="45719" cy="5054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136071</xdr:colOff>
      <xdr:row>0</xdr:row>
      <xdr:rowOff>0</xdr:rowOff>
    </xdr:from>
    <xdr:to>
      <xdr:col>10</xdr:col>
      <xdr:colOff>217940</xdr:colOff>
      <xdr:row>13</xdr:row>
      <xdr:rowOff>27214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449035</xdr:colOff>
      <xdr:row>21</xdr:row>
      <xdr:rowOff>7257</xdr:rowOff>
    </xdr:from>
    <xdr:to>
      <xdr:col>9</xdr:col>
      <xdr:colOff>594178</xdr:colOff>
      <xdr:row>35</xdr:row>
      <xdr:rowOff>83457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147637</xdr:colOff>
      <xdr:row>2</xdr:row>
      <xdr:rowOff>152400</xdr:rowOff>
    </xdr:from>
    <xdr:to>
      <xdr:col>12</xdr:col>
      <xdr:colOff>452437</xdr:colOff>
      <xdr:row>17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su jain" refreshedDate="46103.924626388885" createdVersion="6" refreshedVersion="6" minRefreshableVersion="3" recordCount="10">
  <cacheSource type="worksheet">
    <worksheetSource ref="A1:G11" sheet="data "/>
  </cacheSource>
  <cacheFields count="8">
    <cacheField name="Order ID " numFmtId="0">
      <sharedItems containsSemiMixedTypes="0" containsString="0" containsNumber="1" containsInteger="1" minValue="435971" maxValue="4658763"/>
    </cacheField>
    <cacheField name="Date " numFmtId="15">
      <sharedItems containsSemiMixedTypes="0" containsNonDate="0" containsDate="1" containsString="0" minDate="2025-09-12T00:00:00" maxDate="2025-10-25T00:00:00" count="10">
        <d v="2025-09-12T00:00:00"/>
        <d v="2025-09-23T00:00:00"/>
        <d v="2025-09-26T00:00:00"/>
        <d v="2025-10-01T00:00:00"/>
        <d v="2025-10-05T00:00:00"/>
        <d v="2025-10-11T00:00:00"/>
        <d v="2025-10-15T00:00:00"/>
        <d v="2025-10-18T00:00:00"/>
        <d v="2025-10-22T00:00:00"/>
        <d v="2025-10-24T00:00:00"/>
      </sharedItems>
      <fieldGroup par="7" base="1">
        <rangePr groupBy="days" startDate="2025-09-12T00:00:00" endDate="2025-10-25T00:00:00"/>
        <groupItems count="368">
          <s v="&lt;12-09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5-10-2025"/>
        </groupItems>
      </fieldGroup>
    </cacheField>
    <cacheField name="City" numFmtId="0">
      <sharedItems count="10">
        <s v="Delhi"/>
        <s v="Mumbai"/>
        <s v="Bangalore"/>
        <s v="Lucknow"/>
        <s v="Indore"/>
        <s v="Gurgaon"/>
        <s v="Jaipur"/>
        <s v="Noida "/>
        <s v="Surat "/>
        <s v="Bhopal"/>
      </sharedItems>
    </cacheField>
    <cacheField name="Product" numFmtId="0">
      <sharedItems count="10">
        <s v="Hair Drier "/>
        <s v="Mobile Phone "/>
        <s v="Speaker "/>
        <s v="Power Bank"/>
        <s v="Fan"/>
        <s v="Air Conditioner "/>
        <s v="Washing Machine "/>
        <s v="LED"/>
        <s v="Smart TV"/>
        <s v="Trimmer"/>
      </sharedItems>
    </cacheField>
    <cacheField name="Price " numFmtId="0">
      <sharedItems containsSemiMixedTypes="0" containsString="0" containsNumber="1" containsInteger="1" minValue="1200" maxValue="35000" count="9">
        <n v="12000"/>
        <n v="22300"/>
        <n v="12500"/>
        <n v="3400"/>
        <n v="1200"/>
        <n v="21000"/>
        <n v="35000"/>
        <n v="1250"/>
        <n v="27900"/>
      </sharedItems>
    </cacheField>
    <cacheField name="Quantity" numFmtId="0">
      <sharedItems containsSemiMixedTypes="0" containsString="0" containsNumber="1" containsInteger="1" minValue="1" maxValue="10"/>
    </cacheField>
    <cacheField name="Revenue" numFmtId="0">
      <sharedItems containsSemiMixedTypes="0" containsString="0" containsNumber="1" containsInteger="1" minValue="1200" maxValue="279000"/>
    </cacheField>
    <cacheField name="Months" numFmtId="0" databaseField="0">
      <fieldGroup base="1">
        <rangePr groupBy="months" startDate="2025-09-12T00:00:00" endDate="2025-10-25T00:00:00"/>
        <groupItems count="14">
          <s v="&lt;12-09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234567"/>
    <x v="0"/>
    <x v="0"/>
    <x v="0"/>
    <x v="0"/>
    <n v="4"/>
    <n v="48000"/>
  </r>
  <r>
    <n v="1731873"/>
    <x v="1"/>
    <x v="1"/>
    <x v="1"/>
    <x v="1"/>
    <n v="2"/>
    <n v="44600"/>
  </r>
  <r>
    <n v="1245674"/>
    <x v="2"/>
    <x v="2"/>
    <x v="2"/>
    <x v="2"/>
    <n v="3"/>
    <n v="37500"/>
  </r>
  <r>
    <n v="4321568"/>
    <x v="3"/>
    <x v="3"/>
    <x v="3"/>
    <x v="3"/>
    <n v="9"/>
    <n v="30600"/>
  </r>
  <r>
    <n v="4658763"/>
    <x v="4"/>
    <x v="4"/>
    <x v="4"/>
    <x v="3"/>
    <n v="6"/>
    <n v="20400"/>
  </r>
  <r>
    <n v="1234678"/>
    <x v="5"/>
    <x v="5"/>
    <x v="5"/>
    <x v="4"/>
    <n v="1"/>
    <n v="1200"/>
  </r>
  <r>
    <n v="4335211"/>
    <x v="6"/>
    <x v="6"/>
    <x v="6"/>
    <x v="5"/>
    <n v="10"/>
    <n v="210000"/>
  </r>
  <r>
    <n v="1534567"/>
    <x v="7"/>
    <x v="7"/>
    <x v="7"/>
    <x v="6"/>
    <n v="4"/>
    <n v="140000"/>
  </r>
  <r>
    <n v="435971"/>
    <x v="8"/>
    <x v="8"/>
    <x v="8"/>
    <x v="7"/>
    <n v="5"/>
    <n v="6250"/>
  </r>
  <r>
    <n v="1234560"/>
    <x v="9"/>
    <x v="9"/>
    <x v="9"/>
    <x v="8"/>
    <n v="10"/>
    <n v="279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4">
  <location ref="A1:B11" firstHeaderRow="1" firstDataRow="1" firstDataCol="1"/>
  <pivotFields count="8">
    <pivotField showAll="0"/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axis="axisRow" showAll="0">
      <items count="11">
        <item x="2"/>
        <item x="9"/>
        <item x="0"/>
        <item x="5"/>
        <item x="4"/>
        <item x="6"/>
        <item x="3"/>
        <item x="1"/>
        <item x="7"/>
        <item x="8"/>
        <item t="default"/>
      </items>
    </pivotField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um of Revenue" fld="6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6">
  <location ref="A1:B11" firstHeaderRow="1" firstDataRow="1" firstDataCol="1"/>
  <pivotFields count="8">
    <pivotField showAll="0"/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/>
    <pivotField axis="axisRow" showAll="0">
      <items count="11">
        <item x="5"/>
        <item x="4"/>
        <item x="0"/>
        <item x="7"/>
        <item x="1"/>
        <item x="3"/>
        <item x="8"/>
        <item x="2"/>
        <item x="9"/>
        <item x="6"/>
        <item t="default"/>
      </items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um of Revenue" fld="6" baseField="0" baseItem="0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11">
  <location ref="A21:B31" firstHeaderRow="1" firstDataRow="1" firstDataCol="1"/>
  <pivotFields count="8">
    <pivotField showAll="0"/>
    <pivotField axis="axisRow" numFmtId="14" showAll="0" sortType="ascending">
      <items count="369">
        <item x="0"/>
        <item x="367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t="default"/>
      </items>
    </pivotField>
    <pivotField showAll="0"/>
    <pivotField showAll="0"/>
    <pivotField showAll="0"/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10">
    <i>
      <x v="12"/>
    </i>
    <i>
      <x v="60"/>
    </i>
    <i>
      <x v="132"/>
    </i>
    <i>
      <x v="145"/>
    </i>
    <i>
      <x v="180"/>
    </i>
    <i>
      <x v="216"/>
    </i>
    <i>
      <x v="264"/>
    </i>
    <i>
      <x v="277"/>
    </i>
    <i>
      <x v="288"/>
    </i>
    <i>
      <x v="313"/>
    </i>
  </rowItems>
  <colItems count="1">
    <i/>
  </colItems>
  <dataFields count="1">
    <dataField name="Sum of Revenue" fld="6" baseField="0" baseItem="0"/>
  </dataFields>
  <chartFormats count="7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1:B12" firstHeaderRow="1" firstDataRow="1" firstDataCol="1"/>
  <pivotFields count="8">
    <pivotField showAll="0"/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/>
    <pivotField axis="axisRow" showAll="0">
      <items count="11">
        <item x="5"/>
        <item x="4"/>
        <item x="0"/>
        <item x="7"/>
        <item x="1"/>
        <item x="3"/>
        <item x="8"/>
        <item x="2"/>
        <item x="9"/>
        <item x="6"/>
        <item t="default"/>
      </items>
    </pivotField>
    <pivotField showAll="0"/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5" baseField="0" baseItem="0"/>
  </dataFields>
  <chartFormats count="22"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6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4">
  <location ref="C4:D13" firstHeaderRow="1" firstDataRow="1" firstDataCol="1"/>
  <pivotFields count="8">
    <pivotField showAll="0"/>
    <pivotField numFmtId="15" showAll="0"/>
    <pivotField showAll="0"/>
    <pivotField showAll="0"/>
    <pivotField axis="axisRow" showAll="0">
      <items count="10">
        <item x="4"/>
        <item x="7"/>
        <item x="3"/>
        <item x="0"/>
        <item x="2"/>
        <item x="5"/>
        <item x="1"/>
        <item x="8"/>
        <item x="6"/>
        <item t="default"/>
      </items>
    </pivotField>
    <pivotField dataField="1" showAll="0"/>
    <pivotField showAll="0"/>
    <pivotField showAll="0" defaultSubtota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Quantity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op Shadow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workbookViewId="0">
      <selection activeCell="D2" sqref="D2:G11"/>
    </sheetView>
  </sheetViews>
  <sheetFormatPr defaultRowHeight="15" x14ac:dyDescent="0.25"/>
  <cols>
    <col min="1" max="1" width="10" bestFit="1" customWidth="1"/>
    <col min="2" max="2" width="14.5703125" customWidth="1"/>
    <col min="3" max="3" width="13" customWidth="1"/>
    <col min="4" max="4" width="16.5703125" customWidth="1"/>
    <col min="5" max="5" width="9" customWidth="1"/>
    <col min="12" max="12" width="10.42578125" bestFit="1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5</v>
      </c>
      <c r="H1" s="2"/>
    </row>
    <row r="2" spans="1:31" x14ac:dyDescent="0.25">
      <c r="A2">
        <v>1234567</v>
      </c>
      <c r="B2" s="8">
        <v>45912</v>
      </c>
      <c r="C2" t="s">
        <v>7</v>
      </c>
      <c r="D2" t="s">
        <v>16</v>
      </c>
      <c r="E2">
        <v>12000</v>
      </c>
      <c r="F2">
        <f t="shared" ref="F2:F11" ca="1" si="0">RANDBETWEEN(1,10)</f>
        <v>10</v>
      </c>
      <c r="G2">
        <f t="shared" ref="G2:G11" ca="1" si="1">E2*F2</f>
        <v>120000</v>
      </c>
    </row>
    <row r="3" spans="1:31" x14ac:dyDescent="0.25">
      <c r="A3">
        <v>1731873</v>
      </c>
      <c r="B3" s="8">
        <v>45923</v>
      </c>
      <c r="C3" t="s">
        <v>8</v>
      </c>
      <c r="D3" t="s">
        <v>15</v>
      </c>
      <c r="E3">
        <v>22300</v>
      </c>
      <c r="F3">
        <f t="shared" ca="1" si="0"/>
        <v>5</v>
      </c>
      <c r="G3">
        <f t="shared" ca="1" si="1"/>
        <v>111500</v>
      </c>
    </row>
    <row r="4" spans="1:31" x14ac:dyDescent="0.25">
      <c r="A4">
        <v>1245674</v>
      </c>
      <c r="B4" s="8">
        <v>45926</v>
      </c>
      <c r="C4" t="s">
        <v>9</v>
      </c>
      <c r="D4" t="s">
        <v>17</v>
      </c>
      <c r="E4">
        <v>12500</v>
      </c>
      <c r="F4">
        <f t="shared" ca="1" si="0"/>
        <v>6</v>
      </c>
      <c r="G4">
        <f t="shared" ca="1" si="1"/>
        <v>75000</v>
      </c>
      <c r="L4" s="3"/>
    </row>
    <row r="5" spans="1:31" x14ac:dyDescent="0.25">
      <c r="A5">
        <v>4321568</v>
      </c>
      <c r="B5" s="8">
        <v>45931</v>
      </c>
      <c r="C5" t="s">
        <v>11</v>
      </c>
      <c r="D5" t="s">
        <v>18</v>
      </c>
      <c r="E5">
        <v>3400</v>
      </c>
      <c r="F5">
        <f t="shared" ca="1" si="0"/>
        <v>5</v>
      </c>
      <c r="G5">
        <f t="shared" ca="1" si="1"/>
        <v>17000</v>
      </c>
      <c r="L5" s="3"/>
    </row>
    <row r="6" spans="1:31" x14ac:dyDescent="0.25">
      <c r="A6">
        <v>4658763</v>
      </c>
      <c r="B6" s="8">
        <v>45935</v>
      </c>
      <c r="C6" t="s">
        <v>12</v>
      </c>
      <c r="D6" t="s">
        <v>28</v>
      </c>
      <c r="E6">
        <v>3400</v>
      </c>
      <c r="F6">
        <f t="shared" ca="1" si="0"/>
        <v>5</v>
      </c>
      <c r="G6">
        <f t="shared" ca="1" si="1"/>
        <v>17000</v>
      </c>
    </row>
    <row r="7" spans="1:31" x14ac:dyDescent="0.25">
      <c r="A7">
        <v>1234678</v>
      </c>
      <c r="B7" s="8">
        <v>45941</v>
      </c>
      <c r="C7" t="s">
        <v>14</v>
      </c>
      <c r="D7" t="s">
        <v>29</v>
      </c>
      <c r="E7">
        <v>1200</v>
      </c>
      <c r="F7">
        <f t="shared" ca="1" si="0"/>
        <v>9</v>
      </c>
      <c r="G7">
        <f t="shared" ca="1" si="1"/>
        <v>10800</v>
      </c>
    </row>
    <row r="8" spans="1:31" x14ac:dyDescent="0.25">
      <c r="A8">
        <v>4335211</v>
      </c>
      <c r="B8" s="8">
        <v>45945</v>
      </c>
      <c r="C8" t="s">
        <v>10</v>
      </c>
      <c r="D8" t="s">
        <v>20</v>
      </c>
      <c r="E8">
        <v>21000</v>
      </c>
      <c r="F8">
        <f t="shared" ca="1" si="0"/>
        <v>1</v>
      </c>
      <c r="G8">
        <f t="shared" ca="1" si="1"/>
        <v>21000</v>
      </c>
    </row>
    <row r="9" spans="1:31" x14ac:dyDescent="0.25">
      <c r="A9">
        <v>1534567</v>
      </c>
      <c r="B9" s="8">
        <v>45948</v>
      </c>
      <c r="C9" t="s">
        <v>22</v>
      </c>
      <c r="D9" t="s">
        <v>24</v>
      </c>
      <c r="E9">
        <v>35000</v>
      </c>
      <c r="F9">
        <f t="shared" ca="1" si="0"/>
        <v>3</v>
      </c>
      <c r="G9">
        <f t="shared" ca="1" si="1"/>
        <v>105000</v>
      </c>
    </row>
    <row r="10" spans="1:31" x14ac:dyDescent="0.25">
      <c r="A10">
        <v>435971</v>
      </c>
      <c r="B10" s="8">
        <v>45952</v>
      </c>
      <c r="C10" t="s">
        <v>19</v>
      </c>
      <c r="D10" t="s">
        <v>23</v>
      </c>
      <c r="E10">
        <v>1250</v>
      </c>
      <c r="F10">
        <f t="shared" ca="1" si="0"/>
        <v>9</v>
      </c>
      <c r="G10">
        <f t="shared" ca="1" si="1"/>
        <v>11250</v>
      </c>
    </row>
    <row r="11" spans="1:31" x14ac:dyDescent="0.25">
      <c r="A11">
        <v>1234560</v>
      </c>
      <c r="B11" s="8">
        <v>45954</v>
      </c>
      <c r="C11" t="s">
        <v>13</v>
      </c>
      <c r="D11" t="s">
        <v>25</v>
      </c>
      <c r="E11">
        <v>27900</v>
      </c>
      <c r="F11">
        <f t="shared" ca="1" si="0"/>
        <v>9</v>
      </c>
      <c r="G11">
        <f t="shared" ca="1" si="1"/>
        <v>251100</v>
      </c>
    </row>
    <row r="12" spans="1:31" x14ac:dyDescent="0.25">
      <c r="G12">
        <f ca="1">SUM(G2:G11)</f>
        <v>739650</v>
      </c>
    </row>
    <row r="13" spans="1:31" x14ac:dyDescent="0.25">
      <c r="D13" t="s">
        <v>21</v>
      </c>
      <c r="T13" t="str">
        <f t="shared" ref="T13:AE13" si="2">PROPER(H5)</f>
        <v/>
      </c>
      <c r="U13" t="str">
        <f t="shared" si="2"/>
        <v/>
      </c>
      <c r="V13" t="str">
        <f t="shared" si="2"/>
        <v/>
      </c>
      <c r="W13" t="str">
        <f t="shared" si="2"/>
        <v/>
      </c>
      <c r="X13" t="str">
        <f t="shared" si="2"/>
        <v/>
      </c>
      <c r="Y13" t="str">
        <f t="shared" si="2"/>
        <v/>
      </c>
      <c r="Z13" t="str">
        <f t="shared" si="2"/>
        <v/>
      </c>
      <c r="AA13" t="str">
        <f t="shared" si="2"/>
        <v/>
      </c>
      <c r="AB13" t="str">
        <f t="shared" si="2"/>
        <v/>
      </c>
      <c r="AC13" t="str">
        <f t="shared" si="2"/>
        <v/>
      </c>
      <c r="AD13" t="str">
        <f t="shared" si="2"/>
        <v/>
      </c>
      <c r="AE13" t="str">
        <f t="shared" si="2"/>
        <v/>
      </c>
    </row>
    <row r="14" spans="1:31" x14ac:dyDescent="0.25">
      <c r="D14" t="s">
        <v>21</v>
      </c>
    </row>
    <row r="15" spans="1:31" x14ac:dyDescent="0.25">
      <c r="D15" t="s">
        <v>21</v>
      </c>
    </row>
    <row r="16" spans="1:31" x14ac:dyDescent="0.25">
      <c r="D16" t="s">
        <v>21</v>
      </c>
    </row>
    <row r="19" spans="11:12" x14ac:dyDescent="0.25">
      <c r="K19" t="str">
        <f>PROPER(D12)</f>
        <v/>
      </c>
    </row>
    <row r="20" spans="11:12" x14ac:dyDescent="0.25">
      <c r="K20" t="str">
        <f>PROPER(D13)</f>
        <v/>
      </c>
    </row>
    <row r="21" spans="11:12" x14ac:dyDescent="0.25">
      <c r="K21" t="str">
        <f>PROPER(D14)</f>
        <v/>
      </c>
    </row>
    <row r="22" spans="11:12" x14ac:dyDescent="0.25">
      <c r="K22" t="str">
        <f>PROPER(D15)</f>
        <v/>
      </c>
    </row>
    <row r="30" spans="11:12" x14ac:dyDescent="0.25">
      <c r="L30" t="str">
        <f>PROPER(D18)</f>
        <v/>
      </c>
    </row>
    <row r="31" spans="11:12" x14ac:dyDescent="0.25">
      <c r="L31" t="str">
        <f>PROPER(D19)</f>
        <v/>
      </c>
    </row>
    <row r="32" spans="11:12" x14ac:dyDescent="0.25">
      <c r="L32" t="str">
        <f>PROPER(D20)</f>
        <v/>
      </c>
    </row>
    <row r="33" spans="12:12" x14ac:dyDescent="0.25">
      <c r="L33" t="str">
        <f>PROPER(D21)</f>
        <v/>
      </c>
    </row>
  </sheetData>
  <sortState ref="A2:G11">
    <sortCondition ref="B2:B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2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2" x14ac:dyDescent="0.25">
      <c r="A1" s="4" t="s">
        <v>26</v>
      </c>
      <c r="B1" t="s">
        <v>27</v>
      </c>
    </row>
    <row r="2" spans="1:2" x14ac:dyDescent="0.25">
      <c r="A2" s="1" t="s">
        <v>9</v>
      </c>
      <c r="B2" s="5">
        <v>37500</v>
      </c>
    </row>
    <row r="3" spans="1:2" x14ac:dyDescent="0.25">
      <c r="A3" s="1" t="s">
        <v>13</v>
      </c>
      <c r="B3" s="5">
        <v>279000</v>
      </c>
    </row>
    <row r="4" spans="1:2" x14ac:dyDescent="0.25">
      <c r="A4" s="1" t="s">
        <v>7</v>
      </c>
      <c r="B4" s="5">
        <v>48000</v>
      </c>
    </row>
    <row r="5" spans="1:2" x14ac:dyDescent="0.25">
      <c r="A5" s="1" t="s">
        <v>14</v>
      </c>
      <c r="B5" s="5">
        <v>1200</v>
      </c>
    </row>
    <row r="6" spans="1:2" x14ac:dyDescent="0.25">
      <c r="A6" s="1" t="s">
        <v>12</v>
      </c>
      <c r="B6" s="5">
        <v>20400</v>
      </c>
    </row>
    <row r="7" spans="1:2" x14ac:dyDescent="0.25">
      <c r="A7" s="1" t="s">
        <v>10</v>
      </c>
      <c r="B7" s="5">
        <v>210000</v>
      </c>
    </row>
    <row r="8" spans="1:2" x14ac:dyDescent="0.25">
      <c r="A8" s="1" t="s">
        <v>11</v>
      </c>
      <c r="B8" s="5">
        <v>30600</v>
      </c>
    </row>
    <row r="9" spans="1:2" x14ac:dyDescent="0.25">
      <c r="A9" s="1" t="s">
        <v>8</v>
      </c>
      <c r="B9" s="5">
        <v>44600</v>
      </c>
    </row>
    <row r="10" spans="1:2" x14ac:dyDescent="0.25">
      <c r="A10" s="1" t="s">
        <v>22</v>
      </c>
      <c r="B10" s="5">
        <v>140000</v>
      </c>
    </row>
    <row r="11" spans="1:2" x14ac:dyDescent="0.25">
      <c r="A11" s="1" t="s">
        <v>19</v>
      </c>
      <c r="B11" s="5">
        <v>6250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K20" sqref="K20"/>
    </sheetView>
  </sheetViews>
  <sheetFormatPr defaultRowHeight="15" x14ac:dyDescent="0.25"/>
  <cols>
    <col min="1" max="1" width="17.28515625" bestFit="1" customWidth="1"/>
    <col min="2" max="2" width="15.5703125" bestFit="1" customWidth="1"/>
  </cols>
  <sheetData>
    <row r="1" spans="1:2" x14ac:dyDescent="0.25">
      <c r="A1" s="4" t="s">
        <v>26</v>
      </c>
      <c r="B1" t="s">
        <v>27</v>
      </c>
    </row>
    <row r="2" spans="1:2" x14ac:dyDescent="0.25">
      <c r="A2" s="1" t="s">
        <v>29</v>
      </c>
      <c r="B2" s="5">
        <v>1200</v>
      </c>
    </row>
    <row r="3" spans="1:2" x14ac:dyDescent="0.25">
      <c r="A3" s="1" t="s">
        <v>28</v>
      </c>
      <c r="B3" s="5">
        <v>20400</v>
      </c>
    </row>
    <row r="4" spans="1:2" x14ac:dyDescent="0.25">
      <c r="A4" s="1" t="s">
        <v>16</v>
      </c>
      <c r="B4" s="5">
        <v>48000</v>
      </c>
    </row>
    <row r="5" spans="1:2" x14ac:dyDescent="0.25">
      <c r="A5" s="1" t="s">
        <v>24</v>
      </c>
      <c r="B5" s="5">
        <v>140000</v>
      </c>
    </row>
    <row r="6" spans="1:2" x14ac:dyDescent="0.25">
      <c r="A6" s="1" t="s">
        <v>15</v>
      </c>
      <c r="B6" s="5">
        <v>44600</v>
      </c>
    </row>
    <row r="7" spans="1:2" x14ac:dyDescent="0.25">
      <c r="A7" s="1" t="s">
        <v>18</v>
      </c>
      <c r="B7" s="5">
        <v>30600</v>
      </c>
    </row>
    <row r="8" spans="1:2" x14ac:dyDescent="0.25">
      <c r="A8" s="1" t="s">
        <v>23</v>
      </c>
      <c r="B8" s="5">
        <v>6250</v>
      </c>
    </row>
    <row r="9" spans="1:2" x14ac:dyDescent="0.25">
      <c r="A9" s="1" t="s">
        <v>17</v>
      </c>
      <c r="B9" s="5">
        <v>37500</v>
      </c>
    </row>
    <row r="10" spans="1:2" x14ac:dyDescent="0.25">
      <c r="A10" s="1" t="s">
        <v>25</v>
      </c>
      <c r="B10" s="5">
        <v>279000</v>
      </c>
    </row>
    <row r="11" spans="1:2" x14ac:dyDescent="0.25">
      <c r="A11" s="1" t="s">
        <v>20</v>
      </c>
      <c r="B11" s="5">
        <v>210000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"/>
  <sheetViews>
    <sheetView tabSelected="1" zoomScale="49" workbookViewId="0">
      <selection activeCell="W31" sqref="W31"/>
    </sheetView>
  </sheetViews>
  <sheetFormatPr defaultRowHeight="15" x14ac:dyDescent="0.25"/>
  <sheetData>
    <row r="1" spans="1:30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18" zoomScale="105" workbookViewId="0">
      <selection activeCell="I37" sqref="I37"/>
    </sheetView>
  </sheetViews>
  <sheetFormatPr defaultRowHeight="15" x14ac:dyDescent="0.25"/>
  <cols>
    <col min="1" max="1" width="17.28515625" customWidth="1"/>
    <col min="2" max="2" width="15.42578125" customWidth="1"/>
    <col min="3" max="3" width="11.7109375" customWidth="1"/>
  </cols>
  <sheetData>
    <row r="1" spans="1:3" x14ac:dyDescent="0.25">
      <c r="A1" s="4" t="s">
        <v>26</v>
      </c>
      <c r="B1" t="s">
        <v>31</v>
      </c>
      <c r="C1" t="s">
        <v>32</v>
      </c>
    </row>
    <row r="2" spans="1:3" x14ac:dyDescent="0.25">
      <c r="A2" s="1" t="s">
        <v>29</v>
      </c>
      <c r="B2" s="5">
        <v>1</v>
      </c>
      <c r="C2" s="6">
        <f>B2/$B$12</f>
        <v>1.8518518518518517E-2</v>
      </c>
    </row>
    <row r="3" spans="1:3" x14ac:dyDescent="0.25">
      <c r="A3" s="1" t="s">
        <v>28</v>
      </c>
      <c r="B3" s="5">
        <v>6</v>
      </c>
      <c r="C3" s="6">
        <f t="shared" ref="C3:C12" si="0">B3/$B$12</f>
        <v>0.1111111111111111</v>
      </c>
    </row>
    <row r="4" spans="1:3" x14ac:dyDescent="0.25">
      <c r="A4" s="1" t="s">
        <v>16</v>
      </c>
      <c r="B4" s="5">
        <v>4</v>
      </c>
      <c r="C4" s="6">
        <f t="shared" si="0"/>
        <v>7.407407407407407E-2</v>
      </c>
    </row>
    <row r="5" spans="1:3" x14ac:dyDescent="0.25">
      <c r="A5" s="1" t="s">
        <v>24</v>
      </c>
      <c r="B5" s="5">
        <v>4</v>
      </c>
      <c r="C5" s="6">
        <f t="shared" si="0"/>
        <v>7.407407407407407E-2</v>
      </c>
    </row>
    <row r="6" spans="1:3" x14ac:dyDescent="0.25">
      <c r="A6" s="1" t="s">
        <v>15</v>
      </c>
      <c r="B6" s="5">
        <v>2</v>
      </c>
      <c r="C6" s="6">
        <f t="shared" si="0"/>
        <v>3.7037037037037035E-2</v>
      </c>
    </row>
    <row r="7" spans="1:3" x14ac:dyDescent="0.25">
      <c r="A7" s="1" t="s">
        <v>18</v>
      </c>
      <c r="B7" s="5">
        <v>9</v>
      </c>
      <c r="C7" s="6">
        <f t="shared" si="0"/>
        <v>0.16666666666666666</v>
      </c>
    </row>
    <row r="8" spans="1:3" x14ac:dyDescent="0.25">
      <c r="A8" s="1" t="s">
        <v>23</v>
      </c>
      <c r="B8" s="5">
        <v>5</v>
      </c>
      <c r="C8" s="6">
        <f t="shared" si="0"/>
        <v>9.2592592592592587E-2</v>
      </c>
    </row>
    <row r="9" spans="1:3" x14ac:dyDescent="0.25">
      <c r="A9" s="1" t="s">
        <v>17</v>
      </c>
      <c r="B9" s="5">
        <v>3</v>
      </c>
      <c r="C9" s="6">
        <f t="shared" si="0"/>
        <v>5.5555555555555552E-2</v>
      </c>
    </row>
    <row r="10" spans="1:3" x14ac:dyDescent="0.25">
      <c r="A10" s="1" t="s">
        <v>25</v>
      </c>
      <c r="B10" s="5">
        <v>10</v>
      </c>
      <c r="C10" s="6">
        <f t="shared" si="0"/>
        <v>0.18518518518518517</v>
      </c>
    </row>
    <row r="11" spans="1:3" x14ac:dyDescent="0.25">
      <c r="A11" s="1" t="s">
        <v>20</v>
      </c>
      <c r="B11" s="5">
        <v>10</v>
      </c>
      <c r="C11" s="6">
        <f t="shared" si="0"/>
        <v>0.18518518518518517</v>
      </c>
    </row>
    <row r="12" spans="1:3" x14ac:dyDescent="0.25">
      <c r="A12" s="1" t="s">
        <v>30</v>
      </c>
      <c r="B12" s="5">
        <v>54</v>
      </c>
      <c r="C12" s="6">
        <f t="shared" si="0"/>
        <v>1</v>
      </c>
    </row>
    <row r="21" spans="1:2" x14ac:dyDescent="0.25">
      <c r="A21" s="4" t="s">
        <v>26</v>
      </c>
      <c r="B21" t="s">
        <v>27</v>
      </c>
    </row>
    <row r="22" spans="1:2" x14ac:dyDescent="0.25">
      <c r="A22" s="7" t="s">
        <v>41</v>
      </c>
      <c r="B22" s="5">
        <v>30600</v>
      </c>
    </row>
    <row r="23" spans="1:2" x14ac:dyDescent="0.25">
      <c r="A23" s="7" t="s">
        <v>42</v>
      </c>
      <c r="B23" s="5">
        <v>20400</v>
      </c>
    </row>
    <row r="24" spans="1:2" x14ac:dyDescent="0.25">
      <c r="A24" s="7" t="s">
        <v>37</v>
      </c>
      <c r="B24" s="5">
        <v>1200</v>
      </c>
    </row>
    <row r="25" spans="1:2" x14ac:dyDescent="0.25">
      <c r="A25" s="7" t="s">
        <v>38</v>
      </c>
      <c r="B25" s="5">
        <v>48000</v>
      </c>
    </row>
    <row r="26" spans="1:2" x14ac:dyDescent="0.25">
      <c r="A26" s="7" t="s">
        <v>36</v>
      </c>
      <c r="B26" s="5">
        <v>210000</v>
      </c>
    </row>
    <row r="27" spans="1:2" x14ac:dyDescent="0.25">
      <c r="A27" s="7" t="s">
        <v>33</v>
      </c>
      <c r="B27" s="5">
        <v>140000</v>
      </c>
    </row>
    <row r="28" spans="1:2" x14ac:dyDescent="0.25">
      <c r="A28" s="7" t="s">
        <v>34</v>
      </c>
      <c r="B28" s="5">
        <v>6250</v>
      </c>
    </row>
    <row r="29" spans="1:2" x14ac:dyDescent="0.25">
      <c r="A29" s="7" t="s">
        <v>39</v>
      </c>
      <c r="B29" s="5">
        <v>44600</v>
      </c>
    </row>
    <row r="30" spans="1:2" x14ac:dyDescent="0.25">
      <c r="A30" s="7" t="s">
        <v>35</v>
      </c>
      <c r="B30" s="5">
        <v>279000</v>
      </c>
    </row>
    <row r="31" spans="1:2" x14ac:dyDescent="0.25">
      <c r="A31" s="7" t="s">
        <v>40</v>
      </c>
      <c r="B31" s="5">
        <v>37500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13"/>
  <sheetViews>
    <sheetView workbookViewId="0">
      <selection activeCell="C4" sqref="C4"/>
    </sheetView>
  </sheetViews>
  <sheetFormatPr defaultRowHeight="15" x14ac:dyDescent="0.25"/>
  <cols>
    <col min="3" max="3" width="13.140625" bestFit="1" customWidth="1"/>
    <col min="4" max="4" width="15.42578125" bestFit="1" customWidth="1"/>
  </cols>
  <sheetData>
    <row r="4" spans="3:4" x14ac:dyDescent="0.25">
      <c r="C4" s="4" t="s">
        <v>26</v>
      </c>
      <c r="D4" t="s">
        <v>31</v>
      </c>
    </row>
    <row r="5" spans="3:4" x14ac:dyDescent="0.25">
      <c r="C5" s="1">
        <v>1200</v>
      </c>
      <c r="D5" s="5">
        <v>1</v>
      </c>
    </row>
    <row r="6" spans="3:4" x14ac:dyDescent="0.25">
      <c r="C6" s="1">
        <v>1250</v>
      </c>
      <c r="D6" s="5">
        <v>5</v>
      </c>
    </row>
    <row r="7" spans="3:4" x14ac:dyDescent="0.25">
      <c r="C7" s="1">
        <v>3400</v>
      </c>
      <c r="D7" s="5">
        <v>15</v>
      </c>
    </row>
    <row r="8" spans="3:4" x14ac:dyDescent="0.25">
      <c r="C8" s="1">
        <v>12000</v>
      </c>
      <c r="D8" s="5">
        <v>4</v>
      </c>
    </row>
    <row r="9" spans="3:4" x14ac:dyDescent="0.25">
      <c r="C9" s="1">
        <v>12500</v>
      </c>
      <c r="D9" s="5">
        <v>3</v>
      </c>
    </row>
    <row r="10" spans="3:4" x14ac:dyDescent="0.25">
      <c r="C10" s="1">
        <v>21000</v>
      </c>
      <c r="D10" s="5">
        <v>10</v>
      </c>
    </row>
    <row r="11" spans="3:4" x14ac:dyDescent="0.25">
      <c r="C11" s="1">
        <v>22300</v>
      </c>
      <c r="D11" s="5">
        <v>2</v>
      </c>
    </row>
    <row r="12" spans="3:4" x14ac:dyDescent="0.25">
      <c r="C12" s="1">
        <v>27900</v>
      </c>
      <c r="D12" s="5">
        <v>10</v>
      </c>
    </row>
    <row r="13" spans="3:4" x14ac:dyDescent="0.25">
      <c r="C13" s="1">
        <v>35000</v>
      </c>
      <c r="D13" s="5">
        <v>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</vt:lpstr>
      <vt:lpstr>city wise revenue </vt:lpstr>
      <vt:lpstr>sale by product </vt:lpstr>
      <vt:lpstr>dashboard analysis </vt:lpstr>
      <vt:lpstr>Quantity sold </vt:lpstr>
      <vt:lpstr>PRICE VS QUANTITY 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jain</dc:creator>
  <cp:lastModifiedBy>vasu jain</cp:lastModifiedBy>
  <dcterms:created xsi:type="dcterms:W3CDTF">2026-03-21T08:20:35Z</dcterms:created>
  <dcterms:modified xsi:type="dcterms:W3CDTF">2026-03-23T16:22:55Z</dcterms:modified>
</cp:coreProperties>
</file>