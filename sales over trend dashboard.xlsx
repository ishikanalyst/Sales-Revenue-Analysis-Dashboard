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vasu jain\OneDrive\文档\"/>
    </mc:Choice>
  </mc:AlternateContent>
  <bookViews>
    <workbookView xWindow="0" yWindow="0" windowWidth="20490" windowHeight="7500" activeTab="3"/>
  </bookViews>
  <sheets>
    <sheet name="data " sheetId="1" r:id="rId1"/>
    <sheet name="city wise revenue " sheetId="6" r:id="rId2"/>
    <sheet name="sale by product " sheetId="4" r:id="rId3"/>
    <sheet name="dashboard analysis " sheetId="5" r:id="rId4"/>
    <sheet name="Quantity sold " sheetId="7" r:id="rId5"/>
    <sheet name="PRICE VS QUANTITY " sheetId="8" r:id="rId6"/>
  </sheets>
  <definedNames>
    <definedName name="NativeTimeline_Date">#N/A</definedName>
    <definedName name="Slicer_City">#N/A</definedName>
    <definedName name="Slicer_Product">#N/A</definedName>
  </definedNames>
  <calcPr calcId="162913"/>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2" i="7" l="1"/>
  <c r="C3" i="7"/>
  <c r="C4" i="7"/>
  <c r="C5" i="7"/>
  <c r="C6" i="7"/>
  <c r="C7" i="7"/>
  <c r="C8" i="7"/>
  <c r="C9" i="7"/>
  <c r="C10" i="7"/>
  <c r="C11" i="7"/>
  <c r="C2" i="7"/>
  <c r="F9" i="1"/>
  <c r="K19" i="1" l="1"/>
  <c r="K20" i="1"/>
  <c r="F3" i="1"/>
  <c r="G3" i="1" s="1"/>
  <c r="F4" i="1"/>
  <c r="G4" i="1" s="1"/>
  <c r="F5" i="1"/>
  <c r="G5" i="1" s="1"/>
  <c r="F6" i="1"/>
  <c r="G6" i="1" s="1"/>
  <c r="F7" i="1"/>
  <c r="G7" i="1" s="1"/>
  <c r="F8" i="1"/>
  <c r="G8" i="1" s="1"/>
  <c r="G9" i="1"/>
  <c r="F10" i="1"/>
  <c r="G10" i="1" s="1"/>
  <c r="F11" i="1"/>
  <c r="G11" i="1" s="1"/>
  <c r="K21" i="1"/>
  <c r="K22" i="1"/>
  <c r="Z13" i="1"/>
  <c r="F2" i="1"/>
  <c r="G2" i="1" s="1"/>
  <c r="AE13" i="1"/>
  <c r="AD13" i="1"/>
  <c r="AC13" i="1"/>
  <c r="AB13" i="1"/>
  <c r="AA13" i="1"/>
  <c r="Y13" i="1"/>
  <c r="X13" i="1"/>
  <c r="W13" i="1"/>
  <c r="V13" i="1"/>
  <c r="U13" i="1"/>
  <c r="T13" i="1"/>
  <c r="L30" i="1"/>
  <c r="L31" i="1"/>
  <c r="L32" i="1"/>
  <c r="L33" i="1"/>
  <c r="G12" i="1" l="1"/>
</calcChain>
</file>

<file path=xl/sharedStrings.xml><?xml version="1.0" encoding="utf-8"?>
<sst xmlns="http://schemas.openxmlformats.org/spreadsheetml/2006/main" count="83" uniqueCount="43">
  <si>
    <t xml:space="preserve">Order ID </t>
  </si>
  <si>
    <t xml:space="preserve">Date </t>
  </si>
  <si>
    <t>City</t>
  </si>
  <si>
    <t>Product</t>
  </si>
  <si>
    <t>Quantity</t>
  </si>
  <si>
    <t>Revenue</t>
  </si>
  <si>
    <t xml:space="preserve">Price </t>
  </si>
  <si>
    <t>Delhi</t>
  </si>
  <si>
    <t>Mumbai</t>
  </si>
  <si>
    <t>Bangalore</t>
  </si>
  <si>
    <t>Jaipur</t>
  </si>
  <si>
    <t>Lucknow</t>
  </si>
  <si>
    <t>Indore</t>
  </si>
  <si>
    <t>Bhopal</t>
  </si>
  <si>
    <t>Gurgaon</t>
  </si>
  <si>
    <t xml:space="preserve">Mobile Phone </t>
  </si>
  <si>
    <t xml:space="preserve">Hair Drier </t>
  </si>
  <si>
    <t xml:space="preserve">Speaker </t>
  </si>
  <si>
    <t>Power Bank</t>
  </si>
  <si>
    <t xml:space="preserve">Surat </t>
  </si>
  <si>
    <t xml:space="preserve">Washing Machine </t>
  </si>
  <si>
    <t/>
  </si>
  <si>
    <t xml:space="preserve">Noida </t>
  </si>
  <si>
    <t>Smart TV</t>
  </si>
  <si>
    <t>LED</t>
  </si>
  <si>
    <t>Trimmer</t>
  </si>
  <si>
    <t>Row Labels</t>
  </si>
  <si>
    <t>Sum of Revenue</t>
  </si>
  <si>
    <t>Fan</t>
  </si>
  <si>
    <t xml:space="preserve">Air Conditioner </t>
  </si>
  <si>
    <t>Grand Total</t>
  </si>
  <si>
    <t>Sum of Quantity</t>
  </si>
  <si>
    <t xml:space="preserve">Percentage </t>
  </si>
  <si>
    <t>18-Oct</t>
  </si>
  <si>
    <t>22-Oct</t>
  </si>
  <si>
    <t>24-Oct</t>
  </si>
  <si>
    <t>15-Oct</t>
  </si>
  <si>
    <t>11-Oct</t>
  </si>
  <si>
    <t>12-Sep</t>
  </si>
  <si>
    <t>23-Sep</t>
  </si>
  <si>
    <t>26-Sep</t>
  </si>
  <si>
    <t>01-Oct</t>
  </si>
  <si>
    <t>05-Oct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</si>
</sst>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Alignment="1">
      <alignment horizontal="left"/>
    </xf>
    <xf numFmtId="0" fontId="0" fillId="2" borderId="0" xfId="0" applyFill="1" applyAlignment="1">
      <alignment horizontal="center"/>
    </xf>
    <xf numFmtId="14" fontId="0" fillId="0" borderId="0" xfId="0" applyNumberFormat="1"/>
    <xf numFmtId="0" fontId="0" fillId="0" borderId="0" xfId="0" pivotButton="1"/>
    <xf numFmtId="0" fontId="0" fillId="0" borderId="0" xfId="0" applyNumberFormat="1"/>
    <xf numFmtId="9" fontId="0" fillId="0" borderId="0" xfId="1" applyFont="1"/>
    <xf numFmtId="14" fontId="0" fillId="0" borderId="0" xfId="0" applyNumberFormat="1" applyAlignment="1">
      <alignment horizontal="left"/>
    </xf>
    <xf numFmtId="15" fontId="0" fillId="0" borderId="0" xfId="0" applyNumberFormat="1"/>
    <xf numFmtId="0" fontId="0" fillId="3" borderId="0" xfId="0"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 trend dashboard.xlsx]city wise revenue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CITY-WISE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'city wise revenue '!$B$1</c:f>
              <c:strCache>
                <c:ptCount val="1"/>
                <c:pt idx="0">
                  <c:v>Total</c:v>
                </c:pt>
              </c:strCache>
            </c:strRef>
          </c:tx>
          <c:spPr>
            <a:solidFill>
              <a:schemeClr val="accent1"/>
            </a:solidFill>
            <a:ln>
              <a:noFill/>
            </a:ln>
            <a:effectLst/>
          </c:spPr>
          <c:invertIfNegative val="0"/>
          <c:cat>
            <c:strRef>
              <c:f>'city wise revenue '!$A$2:$A$11</c:f>
              <c:strCache>
                <c:ptCount val="10"/>
                <c:pt idx="0">
                  <c:v>Bangalore</c:v>
                </c:pt>
                <c:pt idx="1">
                  <c:v>Bhopal</c:v>
                </c:pt>
                <c:pt idx="2">
                  <c:v>Delhi</c:v>
                </c:pt>
                <c:pt idx="3">
                  <c:v>Gurgaon</c:v>
                </c:pt>
                <c:pt idx="4">
                  <c:v>Indore</c:v>
                </c:pt>
                <c:pt idx="5">
                  <c:v>Jaipur</c:v>
                </c:pt>
                <c:pt idx="6">
                  <c:v>Lucknow</c:v>
                </c:pt>
                <c:pt idx="7">
                  <c:v>Mumbai</c:v>
                </c:pt>
                <c:pt idx="8">
                  <c:v>Noida </c:v>
                </c:pt>
                <c:pt idx="9">
                  <c:v>Surat </c:v>
                </c:pt>
              </c:strCache>
            </c:strRef>
          </c:cat>
          <c:val>
            <c:numRef>
              <c:f>'city wise revenue '!$B$2:$B$11</c:f>
              <c:numCache>
                <c:formatCode>General</c:formatCode>
                <c:ptCount val="10"/>
                <c:pt idx="0">
                  <c:v>37500</c:v>
                </c:pt>
                <c:pt idx="1">
                  <c:v>279000</c:v>
                </c:pt>
                <c:pt idx="2">
                  <c:v>48000</c:v>
                </c:pt>
                <c:pt idx="3">
                  <c:v>1200</c:v>
                </c:pt>
                <c:pt idx="4">
                  <c:v>20400</c:v>
                </c:pt>
                <c:pt idx="5">
                  <c:v>210000</c:v>
                </c:pt>
                <c:pt idx="6">
                  <c:v>30600</c:v>
                </c:pt>
                <c:pt idx="7">
                  <c:v>44600</c:v>
                </c:pt>
                <c:pt idx="8">
                  <c:v>140000</c:v>
                </c:pt>
                <c:pt idx="9">
                  <c:v>6250</c:v>
                </c:pt>
              </c:numCache>
            </c:numRef>
          </c:val>
          <c:extLst>
            <c:ext xmlns:c16="http://schemas.microsoft.com/office/drawing/2014/chart" uri="{C3380CC4-5D6E-409C-BE32-E72D297353CC}">
              <c16:uniqueId val="{00000000-E729-4063-8ACB-FCB2F62417F5}"/>
            </c:ext>
          </c:extLst>
        </c:ser>
        <c:dLbls>
          <c:showLegendKey val="0"/>
          <c:showVal val="0"/>
          <c:showCatName val="0"/>
          <c:showSerName val="0"/>
          <c:showPercent val="0"/>
          <c:showBubbleSize val="0"/>
        </c:dLbls>
        <c:gapWidth val="219"/>
        <c:overlap val="-27"/>
        <c:axId val="1907093600"/>
        <c:axId val="1907091104"/>
      </c:barChart>
      <c:catAx>
        <c:axId val="190709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91104"/>
        <c:crosses val="autoZero"/>
        <c:auto val="1"/>
        <c:lblAlgn val="ctr"/>
        <c:lblOffset val="100"/>
        <c:noMultiLvlLbl val="0"/>
      </c:catAx>
      <c:valAx>
        <c:axId val="1907091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93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 trend dashboard.xlsx]sale by product !PivotTable2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pivotFmt>
    </c:pivotFmts>
    <c:plotArea>
      <c:layout/>
      <c:barChart>
        <c:barDir val="bar"/>
        <c:grouping val="clustered"/>
        <c:varyColors val="0"/>
        <c:ser>
          <c:idx val="0"/>
          <c:order val="0"/>
          <c:tx>
            <c:strRef>
              <c:f>'sale by product '!$B$1</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'sale by product '!$A$2:$A$11</c:f>
              <c:strCache>
                <c:ptCount val="10"/>
                <c:pt idx="0">
                  <c:v>Air Conditioner </c:v>
                </c:pt>
                <c:pt idx="1">
                  <c:v>Fan</c:v>
                </c:pt>
                <c:pt idx="2">
                  <c:v>Hair Drier </c:v>
                </c:pt>
                <c:pt idx="3">
                  <c:v>LED</c:v>
                </c:pt>
                <c:pt idx="4">
                  <c:v>Mobile Phone </c:v>
                </c:pt>
                <c:pt idx="5">
                  <c:v>Power Bank</c:v>
                </c:pt>
                <c:pt idx="6">
                  <c:v>Smart TV</c:v>
                </c:pt>
                <c:pt idx="7">
                  <c:v>Speaker </c:v>
                </c:pt>
                <c:pt idx="8">
                  <c:v>Trimmer</c:v>
                </c:pt>
                <c:pt idx="9">
                  <c:v>Washing Machine </c:v>
                </c:pt>
              </c:strCache>
            </c:strRef>
          </c:cat>
          <c:val>
            <c:numRef>
              <c:f>'sale by product '!$B$2:$B$11</c:f>
              <c:numCache>
                <c:formatCode>General</c:formatCode>
                <c:ptCount val="10"/>
                <c:pt idx="0">
                  <c:v>1200</c:v>
                </c:pt>
                <c:pt idx="1">
                  <c:v>20400</c:v>
                </c:pt>
                <c:pt idx="2">
                  <c:v>48000</c:v>
                </c:pt>
                <c:pt idx="3">
                  <c:v>140000</c:v>
                </c:pt>
                <c:pt idx="4">
                  <c:v>44600</c:v>
                </c:pt>
                <c:pt idx="5">
                  <c:v>30600</c:v>
                </c:pt>
                <c:pt idx="6">
                  <c:v>6250</c:v>
                </c:pt>
                <c:pt idx="7">
                  <c:v>37500</c:v>
                </c:pt>
                <c:pt idx="8">
                  <c:v>279000</c:v>
                </c:pt>
                <c:pt idx="9">
                  <c:v>210000</c:v>
                </c:pt>
              </c:numCache>
            </c:numRef>
          </c:val>
          <c:extLst>
            <c:ext xmlns:c16="http://schemas.microsoft.com/office/drawing/2014/chart" uri="{C3380CC4-5D6E-409C-BE32-E72D297353CC}">
              <c16:uniqueId val="{00000000-908A-46A9-8288-7C45B717286C}"/>
            </c:ext>
          </c:extLst>
        </c:ser>
        <c:dLbls>
          <c:showLegendKey val="0"/>
          <c:showVal val="0"/>
          <c:showCatName val="0"/>
          <c:showSerName val="0"/>
          <c:showPercent val="0"/>
          <c:showBubbleSize val="0"/>
        </c:dLbls>
        <c:gapWidth val="100"/>
        <c:axId val="1973742768"/>
        <c:axId val="1973741104"/>
      </c:barChart>
      <c:catAx>
        <c:axId val="197374276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73741104"/>
        <c:crosses val="autoZero"/>
        <c:auto val="1"/>
        <c:lblAlgn val="ctr"/>
        <c:lblOffset val="100"/>
        <c:noMultiLvlLbl val="0"/>
      </c:catAx>
      <c:valAx>
        <c:axId val="1973741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73742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 trend dashboard.xlsx]sale by product !PivotTable2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PRODUCT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pivotFmt>
    </c:pivotFmts>
    <c:plotArea>
      <c:layout/>
      <c:barChart>
        <c:barDir val="bar"/>
        <c:grouping val="clustered"/>
        <c:varyColors val="0"/>
        <c:ser>
          <c:idx val="0"/>
          <c:order val="0"/>
          <c:tx>
            <c:strRef>
              <c:f>'sale by product '!$B$1</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'sale by product '!$A$2:$A$11</c:f>
              <c:strCache>
                <c:ptCount val="10"/>
                <c:pt idx="0">
                  <c:v>Air Conditioner </c:v>
                </c:pt>
                <c:pt idx="1">
                  <c:v>Fan</c:v>
                </c:pt>
                <c:pt idx="2">
                  <c:v>Hair Drier </c:v>
                </c:pt>
                <c:pt idx="3">
                  <c:v>LED</c:v>
                </c:pt>
                <c:pt idx="4">
                  <c:v>Mobile Phone </c:v>
                </c:pt>
                <c:pt idx="5">
                  <c:v>Power Bank</c:v>
                </c:pt>
                <c:pt idx="6">
                  <c:v>Smart TV</c:v>
                </c:pt>
                <c:pt idx="7">
                  <c:v>Speaker </c:v>
                </c:pt>
                <c:pt idx="8">
                  <c:v>Trimmer</c:v>
                </c:pt>
                <c:pt idx="9">
                  <c:v>Washing Machine </c:v>
                </c:pt>
              </c:strCache>
            </c:strRef>
          </c:cat>
          <c:val>
            <c:numRef>
              <c:f>'sale by product '!$B$2:$B$11</c:f>
              <c:numCache>
                <c:formatCode>General</c:formatCode>
                <c:ptCount val="10"/>
                <c:pt idx="0">
                  <c:v>1200</c:v>
                </c:pt>
                <c:pt idx="1">
                  <c:v>20400</c:v>
                </c:pt>
                <c:pt idx="2">
                  <c:v>48000</c:v>
                </c:pt>
                <c:pt idx="3">
                  <c:v>140000</c:v>
                </c:pt>
                <c:pt idx="4">
                  <c:v>44600</c:v>
                </c:pt>
                <c:pt idx="5">
                  <c:v>30600</c:v>
                </c:pt>
                <c:pt idx="6">
                  <c:v>6250</c:v>
                </c:pt>
                <c:pt idx="7">
                  <c:v>37500</c:v>
                </c:pt>
                <c:pt idx="8">
                  <c:v>279000</c:v>
                </c:pt>
                <c:pt idx="9">
                  <c:v>210000</c:v>
                </c:pt>
              </c:numCache>
            </c:numRef>
          </c:val>
          <c:extLst>
            <c:ext xmlns:c16="http://schemas.microsoft.com/office/drawing/2014/chart" uri="{C3380CC4-5D6E-409C-BE32-E72D297353CC}">
              <c16:uniqueId val="{00000000-C585-42E8-908B-CD6B02B2C835}"/>
            </c:ext>
          </c:extLst>
        </c:ser>
        <c:dLbls>
          <c:showLegendKey val="0"/>
          <c:showVal val="0"/>
          <c:showCatName val="0"/>
          <c:showSerName val="0"/>
          <c:showPercent val="0"/>
          <c:showBubbleSize val="0"/>
        </c:dLbls>
        <c:gapWidth val="100"/>
        <c:axId val="1973742768"/>
        <c:axId val="1973741104"/>
      </c:barChart>
      <c:catAx>
        <c:axId val="197374276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73741104"/>
        <c:crosses val="autoZero"/>
        <c:auto val="1"/>
        <c:lblAlgn val="ctr"/>
        <c:lblOffset val="100"/>
        <c:noMultiLvlLbl val="0"/>
      </c:catAx>
      <c:valAx>
        <c:axId val="1973741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73742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 trend dashboard.xlsx]city wise revenue !PivotTable3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CITY-WISE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7602469234806145"/>
          <c:y val="0.14375030186114457"/>
          <c:w val="0.81667826405420252"/>
          <c:h val="0.61495261009040536"/>
        </c:manualLayout>
      </c:layout>
      <c:barChart>
        <c:barDir val="col"/>
        <c:grouping val="clustered"/>
        <c:varyColors val="0"/>
        <c:ser>
          <c:idx val="0"/>
          <c:order val="0"/>
          <c:tx>
            <c:strRef>
              <c:f>'city wise revenue '!$B$1</c:f>
              <c:strCache>
                <c:ptCount val="1"/>
                <c:pt idx="0">
                  <c:v>Total</c:v>
                </c:pt>
              </c:strCache>
            </c:strRef>
          </c:tx>
          <c:spPr>
            <a:solidFill>
              <a:schemeClr val="accent1"/>
            </a:solidFill>
            <a:ln>
              <a:noFill/>
            </a:ln>
            <a:effectLst/>
          </c:spPr>
          <c:invertIfNegative val="0"/>
          <c:cat>
            <c:strRef>
              <c:f>'city wise revenue '!$A$2:$A$11</c:f>
              <c:strCache>
                <c:ptCount val="10"/>
                <c:pt idx="0">
                  <c:v>Bangalore</c:v>
                </c:pt>
                <c:pt idx="1">
                  <c:v>Bhopal</c:v>
                </c:pt>
                <c:pt idx="2">
                  <c:v>Delhi</c:v>
                </c:pt>
                <c:pt idx="3">
                  <c:v>Gurgaon</c:v>
                </c:pt>
                <c:pt idx="4">
                  <c:v>Indore</c:v>
                </c:pt>
                <c:pt idx="5">
                  <c:v>Jaipur</c:v>
                </c:pt>
                <c:pt idx="6">
                  <c:v>Lucknow</c:v>
                </c:pt>
                <c:pt idx="7">
                  <c:v>Mumbai</c:v>
                </c:pt>
                <c:pt idx="8">
                  <c:v>Noida </c:v>
                </c:pt>
                <c:pt idx="9">
                  <c:v>Surat </c:v>
                </c:pt>
              </c:strCache>
            </c:strRef>
          </c:cat>
          <c:val>
            <c:numRef>
              <c:f>'city wise revenue '!$B$2:$B$11</c:f>
              <c:numCache>
                <c:formatCode>General</c:formatCode>
                <c:ptCount val="10"/>
                <c:pt idx="0">
                  <c:v>37500</c:v>
                </c:pt>
                <c:pt idx="1">
                  <c:v>279000</c:v>
                </c:pt>
                <c:pt idx="2">
                  <c:v>48000</c:v>
                </c:pt>
                <c:pt idx="3">
                  <c:v>1200</c:v>
                </c:pt>
                <c:pt idx="4">
                  <c:v>20400</c:v>
                </c:pt>
                <c:pt idx="5">
                  <c:v>210000</c:v>
                </c:pt>
                <c:pt idx="6">
                  <c:v>30600</c:v>
                </c:pt>
                <c:pt idx="7">
                  <c:v>44600</c:v>
                </c:pt>
                <c:pt idx="8">
                  <c:v>140000</c:v>
                </c:pt>
                <c:pt idx="9">
                  <c:v>6250</c:v>
                </c:pt>
              </c:numCache>
            </c:numRef>
          </c:val>
          <c:extLst>
            <c:ext xmlns:c16="http://schemas.microsoft.com/office/drawing/2014/chart" uri="{C3380CC4-5D6E-409C-BE32-E72D297353CC}">
              <c16:uniqueId val="{00000000-D710-4F14-A7B5-8F7ABD7F117F}"/>
            </c:ext>
          </c:extLst>
        </c:ser>
        <c:dLbls>
          <c:showLegendKey val="0"/>
          <c:showVal val="0"/>
          <c:showCatName val="0"/>
          <c:showSerName val="0"/>
          <c:showPercent val="0"/>
          <c:showBubbleSize val="0"/>
        </c:dLbls>
        <c:gapWidth val="219"/>
        <c:overlap val="-27"/>
        <c:axId val="1907093600"/>
        <c:axId val="1907091104"/>
      </c:barChart>
      <c:catAx>
        <c:axId val="190709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91104"/>
        <c:crosses val="autoZero"/>
        <c:auto val="1"/>
        <c:lblAlgn val="ctr"/>
        <c:lblOffset val="100"/>
        <c:noMultiLvlLbl val="0"/>
      </c:catAx>
      <c:valAx>
        <c:axId val="1907091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093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 trend dashboard.xlsx]Quantity sold !PivotTable1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 SOLD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3.1274618050703418E-2"/>
              <c:y val="6.7025736366287461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0647984936796806"/>
              <c:y val="-4.7138378536018032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9.591757446099974E-3"/>
              <c:y val="3.9535943423738701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1.5795478801410835E-2"/>
              <c:y val="2.868073782443861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2.9463014707156718E-2"/>
              <c:y val="-1.4720764071157771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9.5676261349120183E-3"/>
              <c:y val="-3.8126275882181565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1.7041093209821969E-2"/>
              <c:y val="5.7541921843102861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3.5841578380802182E-3"/>
              <c:y val="1.646908719743365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5.0636046519025452E-2"/>
              <c:y val="5.912073490813648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3.1971793568479068E-3"/>
              <c:y val="6.812919218431025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marker>
          <c:symbol val="none"/>
        </c:marker>
      </c:pivotFmt>
    </c:pivotFmts>
    <c:plotArea>
      <c:layout/>
      <c:barChart>
        <c:barDir val="bar"/>
        <c:grouping val="clustered"/>
        <c:varyColors val="0"/>
        <c:ser>
          <c:idx val="0"/>
          <c:order val="0"/>
          <c:tx>
            <c:strRef>
              <c:f>'Quantity sold '!$B$1</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B467-4A9A-BD72-22F38D4D913A}"/>
              </c:ext>
            </c:extLst>
          </c:dPt>
          <c:dPt>
            <c:idx val="1"/>
            <c:invertIfNegative val="0"/>
            <c:bubble3D val="0"/>
            <c:extLst>
              <c:ext xmlns:c16="http://schemas.microsoft.com/office/drawing/2014/chart" uri="{C3380CC4-5D6E-409C-BE32-E72D297353CC}">
                <c16:uniqueId val="{00000003-B467-4A9A-BD72-22F38D4D913A}"/>
              </c:ext>
            </c:extLst>
          </c:dPt>
          <c:dPt>
            <c:idx val="2"/>
            <c:invertIfNegative val="0"/>
            <c:bubble3D val="0"/>
            <c:extLst>
              <c:ext xmlns:c16="http://schemas.microsoft.com/office/drawing/2014/chart" uri="{C3380CC4-5D6E-409C-BE32-E72D297353CC}">
                <c16:uniqueId val="{00000005-B467-4A9A-BD72-22F38D4D913A}"/>
              </c:ext>
            </c:extLst>
          </c:dPt>
          <c:dPt>
            <c:idx val="3"/>
            <c:invertIfNegative val="0"/>
            <c:bubble3D val="0"/>
            <c:extLst>
              <c:ext xmlns:c16="http://schemas.microsoft.com/office/drawing/2014/chart" uri="{C3380CC4-5D6E-409C-BE32-E72D297353CC}">
                <c16:uniqueId val="{00000007-B467-4A9A-BD72-22F38D4D913A}"/>
              </c:ext>
            </c:extLst>
          </c:dPt>
          <c:dPt>
            <c:idx val="4"/>
            <c:invertIfNegative val="0"/>
            <c:bubble3D val="0"/>
            <c:extLst>
              <c:ext xmlns:c16="http://schemas.microsoft.com/office/drawing/2014/chart" uri="{C3380CC4-5D6E-409C-BE32-E72D297353CC}">
                <c16:uniqueId val="{00000009-B467-4A9A-BD72-22F38D4D913A}"/>
              </c:ext>
            </c:extLst>
          </c:dPt>
          <c:dPt>
            <c:idx val="5"/>
            <c:invertIfNegative val="0"/>
            <c:bubble3D val="0"/>
            <c:extLst>
              <c:ext xmlns:c16="http://schemas.microsoft.com/office/drawing/2014/chart" uri="{C3380CC4-5D6E-409C-BE32-E72D297353CC}">
                <c16:uniqueId val="{0000000B-B467-4A9A-BD72-22F38D4D913A}"/>
              </c:ext>
            </c:extLst>
          </c:dPt>
          <c:dPt>
            <c:idx val="6"/>
            <c:invertIfNegative val="0"/>
            <c:bubble3D val="0"/>
            <c:extLst>
              <c:ext xmlns:c16="http://schemas.microsoft.com/office/drawing/2014/chart" uri="{C3380CC4-5D6E-409C-BE32-E72D297353CC}">
                <c16:uniqueId val="{0000000D-B467-4A9A-BD72-22F38D4D913A}"/>
              </c:ext>
            </c:extLst>
          </c:dPt>
          <c:dPt>
            <c:idx val="7"/>
            <c:invertIfNegative val="0"/>
            <c:bubble3D val="0"/>
            <c:extLst>
              <c:ext xmlns:c16="http://schemas.microsoft.com/office/drawing/2014/chart" uri="{C3380CC4-5D6E-409C-BE32-E72D297353CC}">
                <c16:uniqueId val="{0000000F-B467-4A9A-BD72-22F38D4D913A}"/>
              </c:ext>
            </c:extLst>
          </c:dPt>
          <c:dPt>
            <c:idx val="8"/>
            <c:invertIfNegative val="0"/>
            <c:bubble3D val="0"/>
            <c:extLst>
              <c:ext xmlns:c16="http://schemas.microsoft.com/office/drawing/2014/chart" uri="{C3380CC4-5D6E-409C-BE32-E72D297353CC}">
                <c16:uniqueId val="{00000011-B467-4A9A-BD72-22F38D4D913A}"/>
              </c:ext>
            </c:extLst>
          </c:dPt>
          <c:dPt>
            <c:idx val="9"/>
            <c:invertIfNegative val="0"/>
            <c:bubble3D val="0"/>
            <c:extLst>
              <c:ext xmlns:c16="http://schemas.microsoft.com/office/drawing/2014/chart" uri="{C3380CC4-5D6E-409C-BE32-E72D297353CC}">
                <c16:uniqueId val="{00000013-B467-4A9A-BD72-22F38D4D913A}"/>
              </c:ext>
            </c:extLst>
          </c:dPt>
          <c:cat>
            <c:strRef>
              <c:f>'Quantity sold '!$A$2:$A$12</c:f>
              <c:strCache>
                <c:ptCount val="10"/>
                <c:pt idx="0">
                  <c:v>Air Conditioner </c:v>
                </c:pt>
                <c:pt idx="1">
                  <c:v>Fan</c:v>
                </c:pt>
                <c:pt idx="2">
                  <c:v>Hair Drier </c:v>
                </c:pt>
                <c:pt idx="3">
                  <c:v>LED</c:v>
                </c:pt>
                <c:pt idx="4">
                  <c:v>Mobile Phone </c:v>
                </c:pt>
                <c:pt idx="5">
                  <c:v>Power Bank</c:v>
                </c:pt>
                <c:pt idx="6">
                  <c:v>Smart TV</c:v>
                </c:pt>
                <c:pt idx="7">
                  <c:v>Speaker </c:v>
                </c:pt>
                <c:pt idx="8">
                  <c:v>Trimmer</c:v>
                </c:pt>
                <c:pt idx="9">
                  <c:v>Washing Machine </c:v>
                </c:pt>
              </c:strCache>
            </c:strRef>
          </c:cat>
          <c:val>
            <c:numRef>
              <c:f>'Quantity sold '!$B$2:$B$12</c:f>
              <c:numCache>
                <c:formatCode>General</c:formatCode>
                <c:ptCount val="10"/>
                <c:pt idx="0">
                  <c:v>1</c:v>
                </c:pt>
                <c:pt idx="1">
                  <c:v>6</c:v>
                </c:pt>
                <c:pt idx="2">
                  <c:v>4</c:v>
                </c:pt>
                <c:pt idx="3">
                  <c:v>4</c:v>
                </c:pt>
                <c:pt idx="4">
                  <c:v>2</c:v>
                </c:pt>
                <c:pt idx="5">
                  <c:v>9</c:v>
                </c:pt>
                <c:pt idx="6">
                  <c:v>5</c:v>
                </c:pt>
                <c:pt idx="7">
                  <c:v>3</c:v>
                </c:pt>
                <c:pt idx="8">
                  <c:v>10</c:v>
                </c:pt>
                <c:pt idx="9">
                  <c:v>10</c:v>
                </c:pt>
              </c:numCache>
            </c:numRef>
          </c:val>
          <c:extLst>
            <c:ext xmlns:c16="http://schemas.microsoft.com/office/drawing/2014/chart" uri="{C3380CC4-5D6E-409C-BE32-E72D297353CC}">
              <c16:uniqueId val="{00000014-B467-4A9A-BD72-22F38D4D913A}"/>
            </c:ext>
          </c:extLst>
        </c:ser>
        <c:dLbls>
          <c:showLegendKey val="0"/>
          <c:showVal val="0"/>
          <c:showCatName val="0"/>
          <c:showSerName val="0"/>
          <c:showPercent val="0"/>
          <c:showBubbleSize val="0"/>
        </c:dLbls>
        <c:gapWidth val="100"/>
        <c:axId val="528669184"/>
        <c:axId val="528655872"/>
      </c:barChart>
      <c:valAx>
        <c:axId val="5286558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69184"/>
        <c:crossBetween val="between"/>
      </c:valAx>
      <c:catAx>
        <c:axId val="5286691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55872"/>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 trend dashboard.xlsx]Quantity sold !PivotTable3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Revenue</a:t>
            </a:r>
            <a:r>
              <a:rPr lang="en-US" sz="1600" baseline="0"/>
              <a:t> Over Time </a:t>
            </a:r>
            <a:endParaRPr lang="en-US" sz="160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1113391531481695"/>
          <c:y val="0.15705733896133908"/>
          <c:w val="0.83419429382144139"/>
          <c:h val="0.73799567604117544"/>
        </c:manualLayout>
      </c:layout>
      <c:lineChart>
        <c:grouping val="standard"/>
        <c:varyColors val="0"/>
        <c:ser>
          <c:idx val="0"/>
          <c:order val="0"/>
          <c:tx>
            <c:strRef>
              <c:f>'Quantity sold '!$B$21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'Quantity sold '!$A$22:$A$31</c:f>
              <c:strCache>
                <c:ptCount val="10"/>
                <c:pt idx="0">
                  <c:v>01-Oct</c:v>
                </c:pt>
                <c:pt idx="1">
                  <c:v>05-Oct</c:v>
                </c:pt>
                <c:pt idx="2">
                  <c:v>11-Oct</c:v>
                </c:pt>
                <c:pt idx="3">
                  <c:v>12-Sep</c:v>
                </c:pt>
                <c:pt idx="4">
                  <c:v>15-Oct</c:v>
                </c:pt>
                <c:pt idx="5">
                  <c:v>18-Oct</c:v>
                </c:pt>
                <c:pt idx="6">
                  <c:v>22-Oct</c:v>
                </c:pt>
                <c:pt idx="7">
                  <c:v>23-Sep</c:v>
                </c:pt>
                <c:pt idx="8">
                  <c:v>24-Oct</c:v>
                </c:pt>
                <c:pt idx="9">
                  <c:v>26-Sep</c:v>
                </c:pt>
              </c:strCache>
            </c:strRef>
          </c:cat>
          <c:val>
            <c:numRef>
              <c:f>'Quantity sold '!$B$22:$B$31</c:f>
              <c:numCache>
                <c:formatCode>General</c:formatCode>
                <c:ptCount val="10"/>
                <c:pt idx="0">
                  <c:v>30600</c:v>
                </c:pt>
                <c:pt idx="1">
                  <c:v>20400</c:v>
                </c:pt>
                <c:pt idx="2">
                  <c:v>1200</c:v>
                </c:pt>
                <c:pt idx="3">
                  <c:v>48000</c:v>
                </c:pt>
                <c:pt idx="4">
                  <c:v>210000</c:v>
                </c:pt>
                <c:pt idx="5">
                  <c:v>140000</c:v>
                </c:pt>
                <c:pt idx="6">
                  <c:v>6250</c:v>
                </c:pt>
                <c:pt idx="7">
                  <c:v>44600</c:v>
                </c:pt>
                <c:pt idx="8">
                  <c:v>279000</c:v>
                </c:pt>
                <c:pt idx="9">
                  <c:v>37500</c:v>
                </c:pt>
              </c:numCache>
            </c:numRef>
          </c:val>
          <c:smooth val="0"/>
          <c:extLst>
            <c:ext xmlns:c16="http://schemas.microsoft.com/office/drawing/2014/chart" uri="{C3380CC4-5D6E-409C-BE32-E72D297353CC}">
              <c16:uniqueId val="{00000000-2FC6-4BB9-A008-CB0C80D822AC}"/>
            </c:ext>
          </c:extLst>
        </c:ser>
        <c:dLbls>
          <c:showLegendKey val="0"/>
          <c:showVal val="0"/>
          <c:showCatName val="0"/>
          <c:showSerName val="0"/>
          <c:showPercent val="0"/>
          <c:showBubbleSize val="0"/>
        </c:dLbls>
        <c:marker val="1"/>
        <c:smooth val="0"/>
        <c:axId val="2052735871"/>
        <c:axId val="2052726303"/>
      </c:lineChart>
      <c:catAx>
        <c:axId val="205273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726303"/>
        <c:crosses val="autoZero"/>
        <c:auto val="1"/>
        <c:lblAlgn val="ctr"/>
        <c:lblOffset val="100"/>
        <c:noMultiLvlLbl val="0"/>
      </c:catAx>
      <c:valAx>
        <c:axId val="2052726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735871"/>
        <c:crosses val="autoZero"/>
        <c:crossBetween val="between"/>
        <c:dispUnits>
          <c:builtInUnit val="thousands"/>
          <c:dispUnitsLbl>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 trend dashboard.xlsx]PRICE VS QUANTITY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PRICE V/S QUANTITY Relationship</a:t>
            </a:r>
          </a:p>
        </c:rich>
      </c:tx>
      <c:layout>
        <c:manualLayout>
          <c:xMode val="edge"/>
          <c:yMode val="edge"/>
          <c:x val="0.24447127998859478"/>
          <c:y val="2.67044968690554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5.7437650316372088E-2"/>
          <c:y val="0.18733204553642396"/>
          <c:w val="0.90421421809820446"/>
          <c:h val="0.73167202392050046"/>
        </c:manualLayout>
      </c:layout>
      <c:lineChart>
        <c:grouping val="stacked"/>
        <c:varyColors val="0"/>
        <c:ser>
          <c:idx val="0"/>
          <c:order val="0"/>
          <c:tx>
            <c:strRef>
              <c:f>'PRICE VS QUANTITY '!$D$4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'PRICE VS QUANTITY '!$C$5:$C$13</c:f>
              <c:strCache>
                <c:ptCount val="9"/>
                <c:pt idx="0">
                  <c:v>1200</c:v>
                </c:pt>
                <c:pt idx="1">
                  <c:v>1250</c:v>
                </c:pt>
                <c:pt idx="2">
                  <c:v>3400</c:v>
                </c:pt>
                <c:pt idx="3">
                  <c:v>12000</c:v>
                </c:pt>
                <c:pt idx="4">
                  <c:v>12500</c:v>
                </c:pt>
                <c:pt idx="5">
                  <c:v>21000</c:v>
                </c:pt>
                <c:pt idx="6">
                  <c:v>22300</c:v>
                </c:pt>
                <c:pt idx="7">
                  <c:v>27900</c:v>
                </c:pt>
                <c:pt idx="8">
                  <c:v>35000</c:v>
                </c:pt>
              </c:strCache>
            </c:strRef>
          </c:cat>
          <c:val>
            <c:numRef>
              <c:f>'PRICE VS QUANTITY '!$D$5:$D$13</c:f>
              <c:numCache>
                <c:formatCode>General</c:formatCode>
                <c:ptCount val="9"/>
                <c:pt idx="0">
                  <c:v>1</c:v>
                </c:pt>
                <c:pt idx="1">
                  <c:v>5</c:v>
                </c:pt>
                <c:pt idx="2">
                  <c:v>15</c:v>
                </c:pt>
                <c:pt idx="3">
                  <c:v>4</c:v>
                </c:pt>
                <c:pt idx="4">
                  <c:v>3</c:v>
                </c:pt>
                <c:pt idx="5">
                  <c:v>10</c:v>
                </c:pt>
                <c:pt idx="6">
                  <c:v>2</c:v>
                </c:pt>
                <c:pt idx="7">
                  <c:v>10</c:v>
                </c:pt>
                <c:pt idx="8">
                  <c:v>4</c:v>
                </c:pt>
              </c:numCache>
            </c:numRef>
          </c:val>
          <c:smooth val="0"/>
          <c:extLst>
            <c:ext xmlns:c16="http://schemas.microsoft.com/office/drawing/2014/chart" uri="{C3380CC4-5D6E-409C-BE32-E72D297353CC}">
              <c16:uniqueId val="{00000000-902E-4641-AE66-B24D06DF456B}"/>
            </c:ext>
          </c:extLst>
        </c:ser>
        <c:dLbls>
          <c:showLegendKey val="0"/>
          <c:showVal val="0"/>
          <c:showCatName val="0"/>
          <c:showSerName val="0"/>
          <c:showPercent val="0"/>
          <c:showBubbleSize val="0"/>
        </c:dLbls>
        <c:marker val="1"/>
        <c:smooth val="0"/>
        <c:axId val="1753421007"/>
        <c:axId val="1753411439"/>
      </c:lineChart>
      <c:catAx>
        <c:axId val="175342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411439"/>
        <c:crosses val="autoZero"/>
        <c:auto val="1"/>
        <c:lblAlgn val="ctr"/>
        <c:lblOffset val="100"/>
        <c:noMultiLvlLbl val="0"/>
      </c:catAx>
      <c:valAx>
        <c:axId val="1753411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421007"/>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 trend dashboard.xlsx]Quantity sold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 SOLD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3.1274618050703418E-2"/>
              <c:y val="6.7025736366287461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0647984936796806"/>
              <c:y val="-4.7138378536018032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9.591757446099974E-3"/>
              <c:y val="3.9535943423738701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1.5795478801410835E-2"/>
              <c:y val="2.868073782443861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2.9463014707156718E-2"/>
              <c:y val="-1.4720764071157771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9.5676261349120183E-3"/>
              <c:y val="-3.8126275882181565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1.7041093209821969E-2"/>
              <c:y val="5.7541921843102861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3.5841578380802182E-3"/>
              <c:y val="1.646908719743365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5.0636046519025452E-2"/>
              <c:y val="5.912073490813648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3.1971793568479068E-3"/>
              <c:y val="6.812919218431025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'Quantity sold '!$B$1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20FE-42FE-8193-B341A863A2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20FE-42FE-8193-B341A863A2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FE-42FE-8193-B341A863A2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A-20FE-42FE-8193-B341A863A2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20FE-42FE-8193-B341A863A22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2-20FE-42FE-8193-B341A863A22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1-20FE-42FE-8193-B341A863A22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9-20FE-42FE-8193-B341A863A22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20FE-42FE-8193-B341A863A22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4-20FE-42FE-8193-B341A863A22A}"/>
              </c:ext>
            </c:extLst>
          </c:dPt>
          <c:dLbls>
            <c:delete val="1"/>
          </c:dLbls>
          <c:cat>
            <c:strRef>
              <c:f>'Quantity sold '!$A$2:$A$12</c:f>
              <c:strCache>
                <c:ptCount val="10"/>
                <c:pt idx="0">
                  <c:v>Air Conditioner </c:v>
                </c:pt>
                <c:pt idx="1">
                  <c:v>Fan</c:v>
                </c:pt>
                <c:pt idx="2">
                  <c:v>Hair Drier </c:v>
                </c:pt>
                <c:pt idx="3">
                  <c:v>LED</c:v>
                </c:pt>
                <c:pt idx="4">
                  <c:v>Mobile Phone </c:v>
                </c:pt>
                <c:pt idx="5">
                  <c:v>Power Bank</c:v>
                </c:pt>
                <c:pt idx="6">
                  <c:v>Smart TV</c:v>
                </c:pt>
                <c:pt idx="7">
                  <c:v>Speaker </c:v>
                </c:pt>
                <c:pt idx="8">
                  <c:v>Trimmer</c:v>
                </c:pt>
                <c:pt idx="9">
                  <c:v>Washing Machine </c:v>
                </c:pt>
              </c:strCache>
            </c:strRef>
          </c:cat>
          <c:val>
            <c:numRef>
              <c:f>'Quantity sold '!$B$2:$B$12</c:f>
              <c:numCache>
                <c:formatCode>General</c:formatCode>
                <c:ptCount val="10"/>
                <c:pt idx="0">
                  <c:v>1</c:v>
                </c:pt>
                <c:pt idx="1">
                  <c:v>6</c:v>
                </c:pt>
                <c:pt idx="2">
                  <c:v>4</c:v>
                </c:pt>
                <c:pt idx="3">
                  <c:v>4</c:v>
                </c:pt>
                <c:pt idx="4">
                  <c:v>2</c:v>
                </c:pt>
                <c:pt idx="5">
                  <c:v>9</c:v>
                </c:pt>
                <c:pt idx="6">
                  <c:v>5</c:v>
                </c:pt>
                <c:pt idx="7">
                  <c:v>3</c:v>
                </c:pt>
                <c:pt idx="8">
                  <c:v>10</c:v>
                </c:pt>
                <c:pt idx="9">
                  <c:v>10</c:v>
                </c:pt>
              </c:numCache>
            </c:numRef>
          </c:val>
          <c:extLst>
            <c:ext xmlns:c16="http://schemas.microsoft.com/office/drawing/2014/chart" uri="{C3380CC4-5D6E-409C-BE32-E72D297353CC}">
              <c16:uniqueId val="{00000000-20FE-42FE-8193-B341A863A22A}"/>
            </c:ext>
          </c:extLst>
        </c:ser>
        <c:dLbls>
          <c:dLblPos val="ctr"/>
          <c:showLegendKey val="0"/>
          <c:showVal val="0"/>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 trend dashboard.xlsx]Quantity sold !PivotTable3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'Quantity sold '!$B$21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'Quantity sold '!$A$22:$A$31</c:f>
              <c:strCache>
                <c:ptCount val="10"/>
                <c:pt idx="0">
                  <c:v>01-Oct</c:v>
                </c:pt>
                <c:pt idx="1">
                  <c:v>05-Oct</c:v>
                </c:pt>
                <c:pt idx="2">
                  <c:v>11-Oct</c:v>
                </c:pt>
                <c:pt idx="3">
                  <c:v>12-Sep</c:v>
                </c:pt>
                <c:pt idx="4">
                  <c:v>15-Oct</c:v>
                </c:pt>
                <c:pt idx="5">
                  <c:v>18-Oct</c:v>
                </c:pt>
                <c:pt idx="6">
                  <c:v>22-Oct</c:v>
                </c:pt>
                <c:pt idx="7">
                  <c:v>23-Sep</c:v>
                </c:pt>
                <c:pt idx="8">
                  <c:v>24-Oct</c:v>
                </c:pt>
                <c:pt idx="9">
                  <c:v>26-Sep</c:v>
                </c:pt>
              </c:strCache>
            </c:strRef>
          </c:cat>
          <c:val>
            <c:numRef>
              <c:f>'Quantity sold '!$B$22:$B$31</c:f>
              <c:numCache>
                <c:formatCode>General</c:formatCode>
                <c:ptCount val="10"/>
                <c:pt idx="0">
                  <c:v>30600</c:v>
                </c:pt>
                <c:pt idx="1">
                  <c:v>20400</c:v>
                </c:pt>
                <c:pt idx="2">
                  <c:v>1200</c:v>
                </c:pt>
                <c:pt idx="3">
                  <c:v>48000</c:v>
                </c:pt>
                <c:pt idx="4">
                  <c:v>210000</c:v>
                </c:pt>
                <c:pt idx="5">
                  <c:v>140000</c:v>
                </c:pt>
                <c:pt idx="6">
                  <c:v>6250</c:v>
                </c:pt>
                <c:pt idx="7">
                  <c:v>44600</c:v>
                </c:pt>
                <c:pt idx="8">
                  <c:v>279000</c:v>
                </c:pt>
                <c:pt idx="9">
                  <c:v>37500</c:v>
                </c:pt>
              </c:numCache>
            </c:numRef>
          </c:val>
          <c:smooth val="0"/>
          <c:extLst>
            <c:ext xmlns:c16="http://schemas.microsoft.com/office/drawing/2014/chart" uri="{C3380CC4-5D6E-409C-BE32-E72D297353CC}">
              <c16:uniqueId val="{00000000-3366-4F6A-A89F-A7AD1D797FF9}"/>
            </c:ext>
          </c:extLst>
        </c:ser>
        <c:dLbls>
          <c:showLegendKey val="0"/>
          <c:showVal val="0"/>
          <c:showCatName val="0"/>
          <c:showSerName val="0"/>
          <c:showPercent val="0"/>
          <c:showBubbleSize val="0"/>
        </c:dLbls>
        <c:marker val="1"/>
        <c:smooth val="0"/>
        <c:axId val="2052735871"/>
        <c:axId val="2052726303"/>
      </c:lineChart>
      <c:catAx>
        <c:axId val="205273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726303"/>
        <c:crosses val="autoZero"/>
        <c:auto val="1"/>
        <c:lblAlgn val="ctr"/>
        <c:lblOffset val="100"/>
        <c:noMultiLvlLbl val="0"/>
      </c:catAx>
      <c:valAx>
        <c:axId val="2052726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735871"/>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over trend dashboard.xlsx]PRICE VS QUANTITY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V/S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'PRICE VS QUANTITY '!$D$4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'PRICE VS QUANTITY '!$C$5:$C$13</c:f>
              <c:strCache>
                <c:ptCount val="9"/>
                <c:pt idx="0">
                  <c:v>1200</c:v>
                </c:pt>
                <c:pt idx="1">
                  <c:v>1250</c:v>
                </c:pt>
                <c:pt idx="2">
                  <c:v>3400</c:v>
                </c:pt>
                <c:pt idx="3">
                  <c:v>12000</c:v>
                </c:pt>
                <c:pt idx="4">
                  <c:v>12500</c:v>
                </c:pt>
                <c:pt idx="5">
                  <c:v>21000</c:v>
                </c:pt>
                <c:pt idx="6">
                  <c:v>22300</c:v>
                </c:pt>
                <c:pt idx="7">
                  <c:v>27900</c:v>
                </c:pt>
                <c:pt idx="8">
                  <c:v>35000</c:v>
                </c:pt>
              </c:strCache>
            </c:strRef>
          </c:cat>
          <c:val>
            <c:numRef>
              <c:f>'PRICE VS QUANTITY '!$D$5:$D$13</c:f>
              <c:numCache>
                <c:formatCode>General</c:formatCode>
                <c:ptCount val="9"/>
                <c:pt idx="0">
                  <c:v>1</c:v>
                </c:pt>
                <c:pt idx="1">
                  <c:v>5</c:v>
                </c:pt>
                <c:pt idx="2">
                  <c:v>15</c:v>
                </c:pt>
                <c:pt idx="3">
                  <c:v>4</c:v>
                </c:pt>
                <c:pt idx="4">
                  <c:v>3</c:v>
                </c:pt>
                <c:pt idx="5">
                  <c:v>10</c:v>
                </c:pt>
                <c:pt idx="6">
                  <c:v>2</c:v>
                </c:pt>
                <c:pt idx="7">
                  <c:v>10</c:v>
                </c:pt>
                <c:pt idx="8">
                  <c:v>4</c:v>
                </c:pt>
              </c:numCache>
            </c:numRef>
          </c:val>
          <c:smooth val="0"/>
          <c:extLst>
            <c:ext xmlns:c16="http://schemas.microsoft.com/office/drawing/2014/chart" uri="{C3380CC4-5D6E-409C-BE32-E72D297353CC}">
              <c16:uniqueId val="{00000000-D672-4BC3-8509-B5D2E897B957}"/>
            </c:ext>
          </c:extLst>
        </c:ser>
        <c:dLbls>
          <c:showLegendKey val="0"/>
          <c:showVal val="0"/>
          <c:showCatName val="0"/>
          <c:showSerName val="0"/>
          <c:showPercent val="0"/>
          <c:showBubbleSize val="0"/>
        </c:dLbls>
        <c:marker val="1"/>
        <c:smooth val="0"/>
        <c:axId val="1753421007"/>
        <c:axId val="1753411439"/>
      </c:lineChart>
      <c:catAx>
        <c:axId val="175342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411439"/>
        <c:crosses val="autoZero"/>
        <c:auto val="1"/>
        <c:lblAlgn val="ctr"/>
        <c:lblOffset val="100"/>
        <c:noMultiLvlLbl val="0"/>
      </c:catAx>
      <c:valAx>
        <c:axId val="1753411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421007"/>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319087</xdr:colOff>
      <xdr:row>2</xdr:row>
      <xdr:rowOff>114300</xdr:rowOff>
    </xdr:from>
    <xdr:to>
      <xdr:col>11</xdr:col>
      <xdr:colOff>14287</xdr:colOff>
      <xdr:row>17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504825</xdr:colOff>
      <xdr:row>16</xdr:row>
      <xdr:rowOff>142875</xdr:rowOff>
    </xdr:from>
    <xdr:to>
      <xdr:col>14</xdr:col>
      <xdr:colOff>504825</xdr:colOff>
      <xdr:row>30</xdr:row>
      <xdr:rowOff>0</xdr:rowOff>
    </xdr:to>
    <mc:AlternateContent xmlns:mc="http://schemas.openxmlformats.org/markup-compatibility/2006">
      <mc:Choice xmlns:a14="http://schemas.microsoft.com/office/drawing/2010/main"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905750" y="3190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419100</xdr:colOff>
      <xdr:row>3</xdr:row>
      <xdr:rowOff>0</xdr:rowOff>
    </xdr:from>
    <xdr:to>
      <xdr:col>14</xdr:col>
      <xdr:colOff>419100</xdr:colOff>
      <xdr:row>16</xdr:row>
      <xdr:rowOff>47625</xdr:rowOff>
    </xdr:to>
    <mc:AlternateContent xmlns:mc="http://schemas.openxmlformats.org/markup-compatibility/2006">
      <mc:Choice xmlns:a14="http://schemas.microsoft.com/office/drawing/2010/main" Requires="a14">
        <xdr:graphicFrame macro="">
          <xdr:nvGraphicFramePr>
            <xdr:cNvPr id="4"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820025" y="571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371475</xdr:colOff>
      <xdr:row>16</xdr:row>
      <xdr:rowOff>38100</xdr:rowOff>
    </xdr:from>
    <xdr:to>
      <xdr:col>4</xdr:col>
      <xdr:colOff>571500</xdr:colOff>
      <xdr:row>23</xdr:row>
      <xdr:rowOff>76200</xdr:rowOff>
    </xdr:to>
    <mc:AlternateContent xmlns:mc="http://schemas.openxmlformats.org/markup-compatibility/2006">
      <mc:Choice xmlns:tsle="http://schemas.microsoft.com/office/drawing/2012/timeslicer" Requires="tsle">
        <xdr:graphicFrame macro="">
          <xdr:nvGraphicFramePr>
            <xdr:cNvPr id="5" name="Date "/>
            <xdr:cNvGraphicFramePr/>
          </xdr:nvGraphicFramePr>
          <xdr:xfrm>
            <a:off x="0" y="0"/>
            <a:ext cx="0" cy="0"/>
          </xdr:xfrm>
          <a:graphic>
            <a:graphicData uri="http://schemas.microsoft.com/office/drawing/2012/timeslicer">
              <tsle:timeslicer xmlns:tsle="http://schemas.microsoft.com/office/drawing/2012/timeslicer" name="Date "/>
            </a:graphicData>
          </a:graphic>
        </xdr:graphicFrame>
      </mc:Choice>
      <mc:Fallback>
        <xdr:sp macro="" textlink="">
          <xdr:nvSpPr>
            <xdr:cNvPr id="0" name=""/>
            <xdr:cNvSpPr>
              <a:spLocks noTextEdit="1"/>
            </xdr:cNvSpPr>
          </xdr:nvSpPr>
          <xdr:spPr>
            <a:xfrm>
              <a:off x="371475" y="30861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500062</xdr:colOff>
      <xdr:row>1</xdr:row>
      <xdr:rowOff>0</xdr:rowOff>
    </xdr:from>
    <xdr:to>
      <xdr:col>11</xdr:col>
      <xdr:colOff>195262</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248434</xdr:colOff>
      <xdr:row>6</xdr:row>
      <xdr:rowOff>113010</xdr:rowOff>
    </xdr:from>
    <xdr:to>
      <xdr:col>12</xdr:col>
      <xdr:colOff>62314</xdr:colOff>
      <xdr:row>21</xdr:row>
      <xdr:rowOff>71188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502479</xdr:colOff>
      <xdr:row>22</xdr:row>
      <xdr:rowOff>162485</xdr:rowOff>
    </xdr:from>
    <xdr:to>
      <xdr:col>20</xdr:col>
      <xdr:colOff>231511</xdr:colOff>
      <xdr:row>38</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200164</xdr:colOff>
      <xdr:row>6</xdr:row>
      <xdr:rowOff>49471</xdr:rowOff>
    </xdr:from>
    <xdr:to>
      <xdr:col>29</xdr:col>
      <xdr:colOff>22221</xdr:colOff>
      <xdr:row>21</xdr:row>
      <xdr:rowOff>41891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454912</xdr:colOff>
      <xdr:row>6</xdr:row>
      <xdr:rowOff>32133</xdr:rowOff>
    </xdr:from>
    <xdr:to>
      <xdr:col>20</xdr:col>
      <xdr:colOff>185636</xdr:colOff>
      <xdr:row>20</xdr:row>
      <xdr:rowOff>171621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256463</xdr:colOff>
      <xdr:row>22</xdr:row>
      <xdr:rowOff>193956</xdr:rowOff>
    </xdr:from>
    <xdr:to>
      <xdr:col>12</xdr:col>
      <xdr:colOff>70556</xdr:colOff>
      <xdr:row>37</xdr:row>
      <xdr:rowOff>141476</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574253</xdr:colOff>
      <xdr:row>0</xdr:row>
      <xdr:rowOff>137692</xdr:rowOff>
    </xdr:from>
    <xdr:to>
      <xdr:col>9</xdr:col>
      <xdr:colOff>11339</xdr:colOff>
      <xdr:row>5</xdr:row>
      <xdr:rowOff>77755</xdr:rowOff>
    </xdr:to>
    <xdr:sp macro="" textlink="">
      <xdr:nvSpPr>
        <xdr:cNvPr id="8" name="Rectangle 7"/>
        <xdr:cNvSpPr/>
      </xdr:nvSpPr>
      <xdr:spPr>
        <a:xfrm>
          <a:off x="2984661" y="137692"/>
          <a:ext cx="2450096" cy="912002"/>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a:t>    Total Revenue</a:t>
          </a:r>
        </a:p>
        <a:p>
          <a:pPr algn="l"/>
          <a:r>
            <a:rPr lang="en-IN" sz="2400"/>
            <a:t>      ₹6,08,250</a:t>
          </a:r>
        </a:p>
        <a:p>
          <a:pPr algn="l"/>
          <a:endParaRPr lang="en-IN" sz="2400"/>
        </a:p>
      </xdr:txBody>
    </xdr:sp>
    <xdr:clientData/>
  </xdr:twoCellAnchor>
  <xdr:twoCellAnchor>
    <xdr:from>
      <xdr:col>10</xdr:col>
      <xdr:colOff>450737</xdr:colOff>
      <xdr:row>0</xdr:row>
      <xdr:rowOff>137285</xdr:rowOff>
    </xdr:from>
    <xdr:to>
      <xdr:col>15</xdr:col>
      <xdr:colOff>86260</xdr:colOff>
      <xdr:row>5</xdr:row>
      <xdr:rowOff>58316</xdr:rowOff>
    </xdr:to>
    <xdr:sp macro="" textlink="">
      <xdr:nvSpPr>
        <xdr:cNvPr id="10" name="Rectangle 9"/>
        <xdr:cNvSpPr/>
      </xdr:nvSpPr>
      <xdr:spPr>
        <a:xfrm>
          <a:off x="6476757" y="137285"/>
          <a:ext cx="2648534" cy="89297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t>Top Product</a:t>
          </a:r>
        </a:p>
        <a:p>
          <a:pPr algn="ctr"/>
          <a:r>
            <a:rPr lang="en-IN" sz="2400"/>
            <a:t>LED (</a:t>
          </a:r>
          <a:r>
            <a:rPr lang="en-IN" sz="2400">
              <a:solidFill>
                <a:schemeClr val="dk1"/>
              </a:solidFill>
              <a:effectLst/>
              <a:latin typeface="+mn-lt"/>
              <a:ea typeface="+mn-ea"/>
              <a:cs typeface="+mn-cs"/>
            </a:rPr>
            <a:t>₹</a:t>
          </a:r>
          <a:r>
            <a:rPr lang="en-IN" sz="2400"/>
            <a:t>350000)</a:t>
          </a:r>
        </a:p>
      </xdr:txBody>
    </xdr:sp>
    <xdr:clientData/>
  </xdr:twoCellAnchor>
  <xdr:twoCellAnchor>
    <xdr:from>
      <xdr:col>16</xdr:col>
      <xdr:colOff>488804</xdr:colOff>
      <xdr:row>0</xdr:row>
      <xdr:rowOff>155916</xdr:rowOff>
    </xdr:from>
    <xdr:to>
      <xdr:col>21</xdr:col>
      <xdr:colOff>389585</xdr:colOff>
      <xdr:row>5</xdr:row>
      <xdr:rowOff>77754</xdr:rowOff>
    </xdr:to>
    <xdr:sp macro="" textlink="">
      <xdr:nvSpPr>
        <xdr:cNvPr id="11" name="Rectangle 10"/>
        <xdr:cNvSpPr/>
      </xdr:nvSpPr>
      <xdr:spPr>
        <a:xfrm>
          <a:off x="10130437" y="155916"/>
          <a:ext cx="2913791" cy="893777"/>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b="0"/>
            <a:t>Total Quantity Sold</a:t>
          </a:r>
        </a:p>
        <a:p>
          <a:pPr algn="ctr"/>
          <a:r>
            <a:rPr lang="en-IN" sz="2400" b="0"/>
            <a:t>45 Units </a:t>
          </a:r>
        </a:p>
      </xdr:txBody>
    </xdr:sp>
    <xdr:clientData/>
  </xdr:twoCellAnchor>
  <xdr:twoCellAnchor>
    <xdr:from>
      <xdr:col>23</xdr:col>
      <xdr:colOff>97193</xdr:colOff>
      <xdr:row>1</xdr:row>
      <xdr:rowOff>403</xdr:rowOff>
    </xdr:from>
    <xdr:to>
      <xdr:col>27</xdr:col>
      <xdr:colOff>583973</xdr:colOff>
      <xdr:row>5</xdr:row>
      <xdr:rowOff>97194</xdr:rowOff>
    </xdr:to>
    <xdr:sp macro="" textlink="">
      <xdr:nvSpPr>
        <xdr:cNvPr id="12" name="Rectangle 11"/>
        <xdr:cNvSpPr/>
      </xdr:nvSpPr>
      <xdr:spPr>
        <a:xfrm>
          <a:off x="13957040" y="194791"/>
          <a:ext cx="2897188" cy="874342"/>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t>Total Price</a:t>
          </a:r>
        </a:p>
        <a:p>
          <a:pPr algn="ctr"/>
          <a:r>
            <a:rPr lang="en-IN" sz="2400" b="0"/>
            <a:t> </a:t>
          </a:r>
          <a:r>
            <a:rPr lang="en-IN" sz="2400">
              <a:solidFill>
                <a:schemeClr val="dk1"/>
              </a:solidFill>
              <a:effectLst/>
              <a:latin typeface="+mn-lt"/>
              <a:ea typeface="+mn-ea"/>
              <a:cs typeface="+mn-cs"/>
            </a:rPr>
            <a:t>₹</a:t>
          </a:r>
          <a:r>
            <a:rPr lang="en-IN" sz="2400" b="0"/>
            <a:t>139,950</a:t>
          </a:r>
        </a:p>
      </xdr:txBody>
    </xdr:sp>
    <xdr:clientData/>
  </xdr:twoCellAnchor>
  <xdr:twoCellAnchor>
    <xdr:from>
      <xdr:col>1</xdr:col>
      <xdr:colOff>38878</xdr:colOff>
      <xdr:row>4</xdr:row>
      <xdr:rowOff>77756</xdr:rowOff>
    </xdr:from>
    <xdr:to>
      <xdr:col>1</xdr:col>
      <xdr:colOff>84597</xdr:colOff>
      <xdr:row>7</xdr:row>
      <xdr:rowOff>1</xdr:rowOff>
    </xdr:to>
    <xdr:sp macro="" textlink="">
      <xdr:nvSpPr>
        <xdr:cNvPr id="14" name="TextBox 13"/>
        <xdr:cNvSpPr txBox="1"/>
      </xdr:nvSpPr>
      <xdr:spPr>
        <a:xfrm>
          <a:off x="641480" y="855307"/>
          <a:ext cx="45719" cy="5054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252704</xdr:colOff>
      <xdr:row>1</xdr:row>
      <xdr:rowOff>38877</xdr:rowOff>
    </xdr:from>
    <xdr:to>
      <xdr:col>4</xdr:col>
      <xdr:colOff>58316</xdr:colOff>
      <xdr:row>11</xdr:row>
      <xdr:rowOff>116633</xdr:rowOff>
    </xdr:to>
    <mc:AlternateContent xmlns:mc="http://schemas.openxmlformats.org/markup-compatibility/2006">
      <mc:Choice xmlns:a14="http://schemas.microsoft.com/office/drawing/2010/main" Requires="a14">
        <xdr:graphicFrame macro="">
          <xdr:nvGraphicFramePr>
            <xdr:cNvPr id="13"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52704" y="226254"/>
              <a:ext cx="2241514" cy="1951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252703</xdr:colOff>
      <xdr:row>13</xdr:row>
      <xdr:rowOff>116633</xdr:rowOff>
    </xdr:from>
    <xdr:to>
      <xdr:col>4</xdr:col>
      <xdr:colOff>19438</xdr:colOff>
      <xdr:row>23</xdr:row>
      <xdr:rowOff>174950</xdr:rowOff>
    </xdr:to>
    <mc:AlternateContent xmlns:mc="http://schemas.openxmlformats.org/markup-compatibility/2006">
      <mc:Choice xmlns:a14="http://schemas.microsoft.com/office/drawing/2010/main" Requires="a14">
        <xdr:graphicFrame macro="">
          <xdr:nvGraphicFramePr>
            <xdr:cNvPr id="15"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52703" y="2552535"/>
              <a:ext cx="2202637" cy="1932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258305</xdr:colOff>
      <xdr:row>26</xdr:row>
      <xdr:rowOff>1</xdr:rowOff>
    </xdr:from>
    <xdr:to>
      <xdr:col>4</xdr:col>
      <xdr:colOff>32288</xdr:colOff>
      <xdr:row>34</xdr:row>
      <xdr:rowOff>0</xdr:rowOff>
    </xdr:to>
    <mc:AlternateContent xmlns:mc="http://schemas.openxmlformats.org/markup-compatibility/2006">
      <mc:Choice xmlns:tsle="http://schemas.microsoft.com/office/drawing/2012/timeslicer" Requires="tsle">
        <xdr:graphicFrame macro="">
          <xdr:nvGraphicFramePr>
            <xdr:cNvPr id="16" name="Date  1"/>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58305" y="4871804"/>
              <a:ext cx="2209885" cy="1499016"/>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136071</xdr:colOff>
      <xdr:row>0</xdr:row>
      <xdr:rowOff>0</xdr:rowOff>
    </xdr:from>
    <xdr:to>
      <xdr:col>10</xdr:col>
      <xdr:colOff>217940</xdr:colOff>
      <xdr:row>13</xdr:row>
      <xdr:rowOff>27214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449035</xdr:colOff>
      <xdr:row>21</xdr:row>
      <xdr:rowOff>7257</xdr:rowOff>
    </xdr:from>
    <xdr:to>
      <xdr:col>9</xdr:col>
      <xdr:colOff>594178</xdr:colOff>
      <xdr:row>35</xdr:row>
      <xdr:rowOff>83457</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147637</xdr:colOff>
      <xdr:row>2</xdr:row>
      <xdr:rowOff>152400</xdr:rowOff>
    </xdr:from>
    <xdr:to>
      <xdr:col>12</xdr:col>
      <xdr:colOff>452437</xdr:colOff>
      <xdr:row>17</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asu jain" refreshedDate="46103.924626388885" createdVersion="6" refreshedVersion="6" minRefreshableVersion="3" recordCount="10">
  <cacheSource type="worksheet">
    <worksheetSource ref="A1:G11" sheet="data "/>
  </cacheSource>
  <cacheFields count="8">
    <cacheField name="Order ID " numFmtId="0">
      <sharedItems containsSemiMixedTypes="0" containsString="0" containsNumber="1" containsInteger="1" minValue="435971" maxValue="4658763"/>
    </cacheField>
    <cacheField name="Date " numFmtId="15">
      <sharedItems containsSemiMixedTypes="0" containsNonDate="0" containsDate="1" containsString="0" minDate="2025-09-12T00:00:00" maxDate="2025-10-25T00:00:00" count="10">
        <d v="2025-09-12T00:00:00"/>
        <d v="2025-09-23T00:00:00"/>
        <d v="2025-09-26T00:00:00"/>
        <d v="2025-10-01T00:00:00"/>
        <d v="2025-10-05T00:00:00"/>
        <d v="2025-10-11T00:00:00"/>
        <d v="2025-10-15T00:00:00"/>
        <d v="2025-10-18T00:00:00"/>
        <d v="2025-10-22T00:00:00"/>
        <d v="2025-10-24T00:00:00"/>
      </sharedItems>
      <fieldGroup par="7" base="1">
        <rangePr groupBy="days" startDate="2025-09-12T00:00:00" endDate="2025-10-25T00:00:00"/>
        <groupItems count="368">
          <s v="&lt;12-09-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5-10-2025"/>
        </groupItems>
      </fieldGroup>
    </cacheField>
    <cacheField name="City" numFmtId="0">
      <sharedItems count="10">
        <s v="Delhi"/>
        <s v="Mumbai"/>
        <s v="Bangalore"/>
        <s v="Lucknow"/>
        <s v="Indore"/>
        <s v="Gurgaon"/>
        <s v="Jaipur"/>
        <s v="Noida "/>
        <s v="Surat "/>
        <s v="Bhopal"/>
      </sharedItems>
    </cacheField>
    <cacheField name="Product" numFmtId="0">
      <sharedItems count="10">
        <s v="Hair Drier "/>
        <s v="Mobile Phone "/>
        <s v="Speaker "/>
        <s v="Power Bank"/>
        <s v="Fan"/>
        <s v="Air Conditioner "/>
        <s v="Washing Machine "/>
        <s v="LED"/>
        <s v="Smart TV"/>
        <s v="Trimmer"/>
      </sharedItems>
    </cacheField>
    <cacheField name="Price " numFmtId="0">
      <sharedItems containsSemiMixedTypes="0" containsString="0" containsNumber="1" containsInteger="1" minValue="1200" maxValue="35000" count="9">
        <n v="12000"/>
        <n v="22300"/>
        <n v="12500"/>
        <n v="3400"/>
        <n v="1200"/>
        <n v="21000"/>
        <n v="35000"/>
        <n v="1250"/>
        <n v="27900"/>
      </sharedItems>
    </cacheField>
    <cacheField name="Quantity" numFmtId="0">
      <sharedItems containsSemiMixedTypes="0" containsString="0" containsNumber="1" containsInteger="1" minValue="1" maxValue="10"/>
    </cacheField>
    <cacheField name="Revenue" numFmtId="0">
      <sharedItems containsSemiMixedTypes="0" containsString="0" containsNumber="1" containsInteger="1" minValue="1200" maxValue="279000"/>
    </cacheField>
    <cacheField name="Months" numFmtId="0" databaseField="0">
      <fieldGroup base="1">
        <rangePr groupBy="months" startDate="2025-09-12T00:00:00" endDate="2025-10-25T00:00:00"/>
        <groupItems count="14">
          <s v="&lt;12-09-2025"/>
          <s v="Jan"/>
          <s v="Feb"/>
          <s v="Mar"/>
          <s v="Apr"/>
          <s v="May"/>
          <s v="Jun"/>
          <s v="Jul"/>
          <s v="Aug"/>
          <s v="Sep"/>
          <s v="Oct"/>
          <s v="Nov"/>
          <s v="Dec"/>
          <s v="&gt;25-10-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n v="1234567"/>
    <x v="0"/>
    <x v="0"/>
    <x v="0"/>
    <x v="0"/>
    <n v="4"/>
    <n v="48000"/>
  </r>
  <r>
    <n v="1731873"/>
    <x v="1"/>
    <x v="1"/>
    <x v="1"/>
    <x v="1"/>
    <n v="2"/>
    <n v="44600"/>
  </r>
  <r>
    <n v="1245674"/>
    <x v="2"/>
    <x v="2"/>
    <x v="2"/>
    <x v="2"/>
    <n v="3"/>
    <n v="37500"/>
  </r>
  <r>
    <n v="4321568"/>
    <x v="3"/>
    <x v="3"/>
    <x v="3"/>
    <x v="3"/>
    <n v="9"/>
    <n v="30600"/>
  </r>
  <r>
    <n v="4658763"/>
    <x v="4"/>
    <x v="4"/>
    <x v="4"/>
    <x v="3"/>
    <n v="6"/>
    <n v="20400"/>
  </r>
  <r>
    <n v="1234678"/>
    <x v="5"/>
    <x v="5"/>
    <x v="5"/>
    <x v="4"/>
    <n v="1"/>
    <n v="1200"/>
  </r>
  <r>
    <n v="4335211"/>
    <x v="6"/>
    <x v="6"/>
    <x v="6"/>
    <x v="5"/>
    <n v="10"/>
    <n v="210000"/>
  </r>
  <r>
    <n v="1534567"/>
    <x v="7"/>
    <x v="7"/>
    <x v="7"/>
    <x v="6"/>
    <n v="4"/>
    <n v="140000"/>
  </r>
  <r>
    <n v="435971"/>
    <x v="8"/>
    <x v="8"/>
    <x v="8"/>
    <x v="7"/>
    <n v="5"/>
    <n v="6250"/>
  </r>
  <r>
    <n v="1234560"/>
    <x v="9"/>
    <x v="9"/>
    <x v="9"/>
    <x v="8"/>
    <n v="10"/>
    <n v="279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chartFormat="4">
  <location ref="A1:B11" firstHeaderRow="1" firstDataRow="1" firstDataCol="1"/>
  <pivotFields count="8">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11">
        <item x="2"/>
        <item x="9"/>
        <item x="0"/>
        <item x="5"/>
        <item x="4"/>
        <item x="6"/>
        <item x="3"/>
        <item x="1"/>
        <item x="7"/>
        <item x="8"/>
        <item t="default"/>
      </items>
    </pivotField>
    <pivotField showAll="0">
      <items count="11">
        <item x="5"/>
        <item x="4"/>
        <item x="0"/>
        <item x="7"/>
        <item x="1"/>
        <item x="3"/>
        <item x="8"/>
        <item x="2"/>
        <item x="9"/>
        <item x="6"/>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2"/>
  </rowFields>
  <rowItems count="10">
    <i>
      <x/>
    </i>
    <i>
      <x v="1"/>
    </i>
    <i>
      <x v="2"/>
    </i>
    <i>
      <x v="3"/>
    </i>
    <i>
      <x v="4"/>
    </i>
    <i>
      <x v="5"/>
    </i>
    <i>
      <x v="6"/>
    </i>
    <i>
      <x v="7"/>
    </i>
    <i>
      <x v="8"/>
    </i>
    <i>
      <x v="9"/>
    </i>
  </rowItems>
  <colItems count="1">
    <i/>
  </colItems>
  <dataFields count="1">
    <dataField name="Sum of Revenue" fld="6" baseField="0" baseItem="0"/>
  </dataFields>
  <chartFormats count="2">
    <chartFormat chart="3" format="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location ref="A1:B11" firstHeaderRow="1" firstDataRow="1" firstDataCol="1"/>
  <pivotFields count="8">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11">
        <item x="5"/>
        <item x="4"/>
        <item x="0"/>
        <item x="7"/>
        <item x="1"/>
        <item x="3"/>
        <item x="8"/>
        <item x="2"/>
        <item x="9"/>
        <item x="6"/>
        <item t="default"/>
      </items>
    </pivotField>
    <pivotField showAll="0"/>
    <pivotField showAll="0"/>
    <pivotField dataField="1" showAll="0"/>
    <pivotField showAll="0" defaultSubtotal="0">
      <items count="14">
        <item x="0"/>
        <item x="1"/>
        <item x="2"/>
        <item x="3"/>
        <item x="4"/>
        <item x="5"/>
        <item x="6"/>
        <item x="7"/>
        <item x="8"/>
        <item x="9"/>
        <item x="10"/>
        <item x="11"/>
        <item x="12"/>
        <item x="13"/>
      </items>
    </pivotField>
  </pivotFields>
  <rowFields count="1">
    <field x="3"/>
  </rowFields>
  <rowItems count="10">
    <i>
      <x/>
    </i>
    <i>
      <x v="1"/>
    </i>
    <i>
      <x v="2"/>
    </i>
    <i>
      <x v="3"/>
    </i>
    <i>
      <x v="4"/>
    </i>
    <i>
      <x v="5"/>
    </i>
    <i>
      <x v="6"/>
    </i>
    <i>
      <x v="7"/>
    </i>
    <i>
      <x v="8"/>
    </i>
    <i>
      <x v="9"/>
    </i>
  </rowItems>
  <colItems count="1">
    <i/>
  </colItems>
  <dataFields count="1">
    <dataField name="Sum of Revenue" fld="6" baseField="0" baseItem="0"/>
  </dataFields>
  <chartFormats count="2">
    <chartFormat chart="5"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B12" firstHeaderRow="1" firstDataRow="1" firstDataCol="1"/>
  <pivotFields count="8">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11">
        <item x="5"/>
        <item x="4"/>
        <item x="0"/>
        <item x="7"/>
        <item x="1"/>
        <item x="3"/>
        <item x="8"/>
        <item x="2"/>
        <item x="9"/>
        <item x="6"/>
        <item t="default"/>
      </items>
    </pivotField>
    <pivotField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3"/>
  </rowFields>
  <rowItems count="11">
    <i>
      <x/>
    </i>
    <i>
      <x v="1"/>
    </i>
    <i>
      <x v="2"/>
    </i>
    <i>
      <x v="3"/>
    </i>
    <i>
      <x v="4"/>
    </i>
    <i>
      <x v="5"/>
    </i>
    <i>
      <x v="6"/>
    </i>
    <i>
      <x v="7"/>
    </i>
    <i>
      <x v="8"/>
    </i>
    <i>
      <x v="9"/>
    </i>
    <i t="grand">
      <x/>
    </i>
  </rowItems>
  <colItems count="1">
    <i/>
  </colItems>
  <dataFields count="1">
    <dataField name="Sum of Quantity" fld="5" baseField="0" baseItem="0"/>
  </dataFields>
  <chartFormats count="12">
    <chartFormat chart="3" format="13" series="1">
      <pivotArea type="data" outline="0" fieldPosition="0">
        <references count="1">
          <reference field="4294967294" count="1" selected="0">
            <x v="0"/>
          </reference>
        </references>
      </pivotArea>
    </chartFormat>
    <chartFormat chart="3" format="24">
      <pivotArea type="data" outline="0" fieldPosition="0">
        <references count="2">
          <reference field="4294967294" count="1" selected="0">
            <x v="0"/>
          </reference>
          <reference field="3" count="1" selected="0">
            <x v="0"/>
          </reference>
        </references>
      </pivotArea>
    </chartFormat>
    <chartFormat chart="3" format="25">
      <pivotArea type="data" outline="0" fieldPosition="0">
        <references count="2">
          <reference field="4294967294" count="1" selected="0">
            <x v="0"/>
          </reference>
          <reference field="3" count="1" selected="0">
            <x v="1"/>
          </reference>
        </references>
      </pivotArea>
    </chartFormat>
    <chartFormat chart="3" format="26">
      <pivotArea type="data" outline="0" fieldPosition="0">
        <references count="2">
          <reference field="4294967294" count="1" selected="0">
            <x v="0"/>
          </reference>
          <reference field="3" count="1" selected="0">
            <x v="2"/>
          </reference>
        </references>
      </pivotArea>
    </chartFormat>
    <chartFormat chart="3" format="27">
      <pivotArea type="data" outline="0" fieldPosition="0">
        <references count="2">
          <reference field="4294967294" count="1" selected="0">
            <x v="0"/>
          </reference>
          <reference field="3" count="1" selected="0">
            <x v="3"/>
          </reference>
        </references>
      </pivotArea>
    </chartFormat>
    <chartFormat chart="3" format="28">
      <pivotArea type="data" outline="0" fieldPosition="0">
        <references count="2">
          <reference field="4294967294" count="1" selected="0">
            <x v="0"/>
          </reference>
          <reference field="3" count="1" selected="0">
            <x v="4"/>
          </reference>
        </references>
      </pivotArea>
    </chartFormat>
    <chartFormat chart="3" format="29">
      <pivotArea type="data" outline="0" fieldPosition="0">
        <references count="2">
          <reference field="4294967294" count="1" selected="0">
            <x v="0"/>
          </reference>
          <reference field="3" count="1" selected="0">
            <x v="5"/>
          </reference>
        </references>
      </pivotArea>
    </chartFormat>
    <chartFormat chart="3" format="30">
      <pivotArea type="data" outline="0" fieldPosition="0">
        <references count="2">
          <reference field="4294967294" count="1" selected="0">
            <x v="0"/>
          </reference>
          <reference field="3" count="1" selected="0">
            <x v="6"/>
          </reference>
        </references>
      </pivotArea>
    </chartFormat>
    <chartFormat chart="3" format="31">
      <pivotArea type="data" outline="0" fieldPosition="0">
        <references count="2">
          <reference field="4294967294" count="1" selected="0">
            <x v="0"/>
          </reference>
          <reference field="3" count="1" selected="0">
            <x v="7"/>
          </reference>
        </references>
      </pivotArea>
    </chartFormat>
    <chartFormat chart="3" format="32">
      <pivotArea type="data" outline="0" fieldPosition="0">
        <references count="2">
          <reference field="4294967294" count="1" selected="0">
            <x v="0"/>
          </reference>
          <reference field="3" count="1" selected="0">
            <x v="8"/>
          </reference>
        </references>
      </pivotArea>
    </chartFormat>
    <chartFormat chart="3" format="33">
      <pivotArea type="data" outline="0" fieldPosition="0">
        <references count="2">
          <reference field="4294967294" count="1" selected="0">
            <x v="0"/>
          </reference>
          <reference field="3" count="1" selected="0">
            <x v="9"/>
          </reference>
        </references>
      </pivotArea>
    </chartFormat>
    <chartFormat chart="6" format="35"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location ref="A21:B31" firstHeaderRow="1" firstDataRow="1" firstDataCol="1"/>
  <pivotFields count="8">
    <pivotField showAll="0"/>
    <pivotField axis="axisRow" numFmtId="14" showAll="0" sortType="ascending">
      <items count="369">
        <item x="0"/>
        <item x="367"/>
        <item x="92"/>
        <item x="214"/>
        <item x="336"/>
        <item x="32"/>
        <item x="1"/>
        <item x="183"/>
        <item x="153"/>
        <item x="61"/>
        <item x="122"/>
        <item x="306"/>
        <item x="275"/>
        <item x="245"/>
        <item x="93"/>
        <item x="215"/>
        <item x="337"/>
        <item x="33"/>
        <item x="2"/>
        <item x="184"/>
        <item x="154"/>
        <item x="62"/>
        <item x="123"/>
        <item x="307"/>
        <item x="276"/>
        <item x="246"/>
        <item x="94"/>
        <item x="216"/>
        <item x="338"/>
        <item x="34"/>
        <item x="3"/>
        <item x="185"/>
        <item x="155"/>
        <item x="63"/>
        <item x="124"/>
        <item x="308"/>
        <item x="277"/>
        <item x="247"/>
        <item x="95"/>
        <item x="217"/>
        <item x="339"/>
        <item x="35"/>
        <item x="4"/>
        <item x="186"/>
        <item x="156"/>
        <item x="64"/>
        <item x="125"/>
        <item x="309"/>
        <item x="278"/>
        <item x="248"/>
        <item x="96"/>
        <item x="218"/>
        <item x="340"/>
        <item x="36"/>
        <item x="5"/>
        <item x="187"/>
        <item x="157"/>
        <item x="65"/>
        <item x="126"/>
        <item x="310"/>
        <item x="279"/>
        <item x="249"/>
        <item x="97"/>
        <item x="219"/>
        <item x="341"/>
        <item x="37"/>
        <item x="6"/>
        <item x="188"/>
        <item x="158"/>
        <item x="66"/>
        <item x="127"/>
        <item x="311"/>
        <item x="280"/>
        <item x="250"/>
        <item x="98"/>
        <item x="220"/>
        <item x="342"/>
        <item x="38"/>
        <item x="7"/>
        <item x="189"/>
        <item x="159"/>
        <item x="67"/>
        <item x="128"/>
        <item x="312"/>
        <item x="281"/>
        <item x="251"/>
        <item x="99"/>
        <item x="221"/>
        <item x="343"/>
        <item x="39"/>
        <item x="8"/>
        <item x="190"/>
        <item x="160"/>
        <item x="68"/>
        <item x="129"/>
        <item x="313"/>
        <item x="282"/>
        <item x="252"/>
        <item x="100"/>
        <item x="222"/>
        <item x="344"/>
        <item x="40"/>
        <item x="9"/>
        <item x="191"/>
        <item x="161"/>
        <item x="69"/>
        <item x="130"/>
        <item x="314"/>
        <item x="283"/>
        <item x="253"/>
        <item x="101"/>
        <item x="223"/>
        <item x="345"/>
        <item x="41"/>
        <item x="10"/>
        <item x="192"/>
        <item x="162"/>
        <item x="70"/>
        <item x="131"/>
        <item x="315"/>
        <item x="284"/>
        <item x="254"/>
        <item x="102"/>
        <item x="224"/>
        <item x="346"/>
        <item x="42"/>
        <item x="11"/>
        <item x="193"/>
        <item x="163"/>
        <item x="71"/>
        <item x="132"/>
        <item x="316"/>
        <item x="285"/>
        <item x="255"/>
        <item x="103"/>
        <item x="225"/>
        <item x="347"/>
        <item x="43"/>
        <item x="12"/>
        <item x="194"/>
        <item x="164"/>
        <item x="72"/>
        <item x="133"/>
        <item x="317"/>
        <item x="286"/>
        <item x="256"/>
        <item x="104"/>
        <item x="226"/>
        <item x="348"/>
        <item x="44"/>
        <item x="13"/>
        <item x="195"/>
        <item x="165"/>
        <item x="73"/>
        <item x="134"/>
        <item x="318"/>
        <item x="287"/>
        <item x="257"/>
        <item x="105"/>
        <item x="227"/>
        <item x="349"/>
        <item x="45"/>
        <item x="14"/>
        <item x="196"/>
        <item x="166"/>
        <item x="74"/>
        <item x="135"/>
        <item x="319"/>
        <item x="288"/>
        <item x="258"/>
        <item x="106"/>
        <item x="228"/>
        <item x="350"/>
        <item x="46"/>
        <item x="15"/>
        <item x="197"/>
        <item x="167"/>
        <item x="75"/>
        <item x="136"/>
        <item x="320"/>
        <item x="289"/>
        <item x="259"/>
        <item x="107"/>
        <item x="229"/>
        <item x="351"/>
        <item x="47"/>
        <item x="16"/>
        <item x="198"/>
        <item x="168"/>
        <item x="76"/>
        <item x="137"/>
        <item x="321"/>
        <item x="290"/>
        <item x="260"/>
        <item x="108"/>
        <item x="230"/>
        <item x="352"/>
        <item x="48"/>
        <item x="17"/>
        <item x="199"/>
        <item x="169"/>
        <item x="77"/>
        <item x="138"/>
        <item x="322"/>
        <item x="291"/>
        <item x="261"/>
        <item x="109"/>
        <item x="231"/>
        <item x="353"/>
        <item x="49"/>
        <item x="18"/>
        <item x="200"/>
        <item x="170"/>
        <item x="78"/>
        <item x="139"/>
        <item x="323"/>
        <item x="292"/>
        <item x="262"/>
        <item x="110"/>
        <item x="232"/>
        <item x="354"/>
        <item x="50"/>
        <item x="19"/>
        <item x="201"/>
        <item x="171"/>
        <item x="79"/>
        <item x="140"/>
        <item x="324"/>
        <item x="293"/>
        <item x="263"/>
        <item x="111"/>
        <item x="233"/>
        <item x="355"/>
        <item x="51"/>
        <item x="20"/>
        <item x="202"/>
        <item x="172"/>
        <item x="80"/>
        <item x="141"/>
        <item x="325"/>
        <item x="294"/>
        <item x="264"/>
        <item x="112"/>
        <item x="234"/>
        <item x="356"/>
        <item x="52"/>
        <item x="21"/>
        <item x="203"/>
        <item x="173"/>
        <item x="81"/>
        <item x="142"/>
        <item x="326"/>
        <item x="295"/>
        <item x="265"/>
        <item x="113"/>
        <item x="235"/>
        <item x="357"/>
        <item x="53"/>
        <item x="22"/>
        <item x="204"/>
        <item x="174"/>
        <item x="82"/>
        <item x="143"/>
        <item x="327"/>
        <item x="296"/>
        <item x="266"/>
        <item x="114"/>
        <item x="236"/>
        <item x="358"/>
        <item x="54"/>
        <item x="23"/>
        <item x="205"/>
        <item x="175"/>
        <item x="83"/>
        <item x="144"/>
        <item x="328"/>
        <item x="297"/>
        <item x="267"/>
        <item x="115"/>
        <item x="237"/>
        <item x="359"/>
        <item x="55"/>
        <item x="24"/>
        <item x="206"/>
        <item x="176"/>
        <item x="84"/>
        <item x="145"/>
        <item x="329"/>
        <item x="298"/>
        <item x="268"/>
        <item x="116"/>
        <item x="238"/>
        <item x="360"/>
        <item x="56"/>
        <item x="25"/>
        <item x="207"/>
        <item x="177"/>
        <item x="85"/>
        <item x="146"/>
        <item x="330"/>
        <item x="299"/>
        <item x="269"/>
        <item x="117"/>
        <item x="239"/>
        <item x="361"/>
        <item x="57"/>
        <item x="26"/>
        <item x="208"/>
        <item x="178"/>
        <item x="86"/>
        <item x="147"/>
        <item x="331"/>
        <item x="300"/>
        <item x="270"/>
        <item x="118"/>
        <item x="240"/>
        <item x="362"/>
        <item x="58"/>
        <item x="27"/>
        <item x="209"/>
        <item x="179"/>
        <item x="87"/>
        <item x="148"/>
        <item x="332"/>
        <item x="301"/>
        <item x="271"/>
        <item x="119"/>
        <item x="241"/>
        <item x="363"/>
        <item x="59"/>
        <item x="28"/>
        <item x="210"/>
        <item x="180"/>
        <item x="88"/>
        <item x="149"/>
        <item x="333"/>
        <item x="302"/>
        <item x="272"/>
        <item x="120"/>
        <item x="242"/>
        <item x="364"/>
        <item x="60"/>
        <item x="29"/>
        <item x="211"/>
        <item x="181"/>
        <item x="89"/>
        <item x="150"/>
        <item x="334"/>
        <item x="303"/>
        <item x="273"/>
        <item x="121"/>
        <item x="243"/>
        <item x="365"/>
        <item x="30"/>
        <item x="212"/>
        <item x="182"/>
        <item x="90"/>
        <item x="151"/>
        <item x="335"/>
        <item x="304"/>
        <item x="274"/>
        <item x="244"/>
        <item x="366"/>
        <item x="31"/>
        <item x="213"/>
        <item x="91"/>
        <item x="152"/>
        <item x="305"/>
        <item t="default"/>
      </items>
    </pivotField>
    <pivotField showAll="0"/>
    <pivotField showAll="0"/>
    <pivotField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0">
    <i>
      <x v="12"/>
    </i>
    <i>
      <x v="60"/>
    </i>
    <i>
      <x v="132"/>
    </i>
    <i>
      <x v="145"/>
    </i>
    <i>
      <x v="180"/>
    </i>
    <i>
      <x v="216"/>
    </i>
    <i>
      <x v="264"/>
    </i>
    <i>
      <x v="277"/>
    </i>
    <i>
      <x v="288"/>
    </i>
    <i>
      <x v="313"/>
    </i>
  </rowItems>
  <colItems count="1">
    <i/>
  </colItems>
  <dataFields count="1">
    <dataField name="Sum of Revenue" fld="6" baseField="0" baseItem="0"/>
  </dataFields>
  <chartFormats count="7">
    <chartFormat chart="3" format="3"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C4:D13" firstHeaderRow="1" firstDataRow="1" firstDataCol="1"/>
  <pivotFields count="8">
    <pivotField showAll="0"/>
    <pivotField numFmtId="15" showAll="0"/>
    <pivotField showAll="0"/>
    <pivotField showAll="0"/>
    <pivotField axis="axisRow" showAll="0">
      <items count="10">
        <item x="4"/>
        <item x="7"/>
        <item x="3"/>
        <item x="0"/>
        <item x="2"/>
        <item x="5"/>
        <item x="1"/>
        <item x="8"/>
        <item x="6"/>
        <item t="default"/>
      </items>
    </pivotField>
    <pivotField dataField="1" showAll="0"/>
    <pivotField showAll="0"/>
    <pivotField showAll="0" defaultSubtotal="0"/>
  </pivotFields>
  <rowFields count="1">
    <field x="4"/>
  </rowFields>
  <rowItems count="9">
    <i>
      <x/>
    </i>
    <i>
      <x v="1"/>
    </i>
    <i>
      <x v="2"/>
    </i>
    <i>
      <x v="3"/>
    </i>
    <i>
      <x v="4"/>
    </i>
    <i>
      <x v="5"/>
    </i>
    <i>
      <x v="6"/>
    </i>
    <i>
      <x v="7"/>
    </i>
    <i>
      <x v="8"/>
    </i>
  </rowItems>
  <colItems count="1">
    <i/>
  </colItems>
  <dataFields count="1">
    <dataField name="Sum of Quantity" fld="5"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6" name="PivotTable3"/>
  </pivotTables>
  <data>
    <tabular pivotCacheId="1">
      <items count="10">
        <i x="2" s="1"/>
        <i x="9" s="1"/>
        <i x="0" s="1"/>
        <i x="5" s="1"/>
        <i x="4" s="1"/>
        <i x="6" s="1"/>
        <i x="3" s="1"/>
        <i x="1"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6" name="PivotTable3"/>
  </pivotTables>
  <data>
    <tabular pivotCacheId="1">
      <items count="10">
        <i x="5" s="1"/>
        <i x="4" s="1"/>
        <i x="0" s="1"/>
        <i x="7" s="1"/>
        <i x="1" s="1"/>
        <i x="3" s="1"/>
        <i x="8" s="1"/>
        <i x="2" s="1"/>
        <i x="9"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41300"/>
  <slicer name="Product"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ity 1" cache="Slicer_City" caption="City" rowHeight="241300"/>
  <slicer name="Product 1"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
  <pivotTables>
    <pivotTable tabId="6" name="PivotTable3"/>
  </pivotTables>
  <state minimalRefreshVersion="6" lastRefreshVersion="6" pivotCacheId="1"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 cache="NativeTimeline_Date" caption="Date " level="2" selectionLevel="2" scrollPosition="2025-06-07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1" cache="NativeTimeline_Date" caption="Date " level="2" selectionLevel="2" scrollPosition="2025-06-07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3"/>
  <sheetViews>
    <sheetView workbookViewId="0">
      <selection activeCell="D2" sqref="D2:G11"/>
    </sheetView>
  </sheetViews>
  <sheetFormatPr defaultRowHeight="15" x14ac:dyDescent="0.25"/>
  <cols>
    <col min="1" max="1" width="10" bestFit="1" customWidth="1"/>
    <col min="2" max="2" width="14.5703125" customWidth="1"/>
    <col min="3" max="3" width="13" customWidth="1"/>
    <col min="4" max="4" width="16.5703125" customWidth="1"/>
    <col min="5" max="5" width="9" customWidth="1"/>
    <col min="12" max="12" width="10.42578125" bestFit="1" customWidth="1"/>
  </cols>
  <sheetData>
    <row r="1" spans="1:31" x14ac:dyDescent="0.25">
      <c r="A1" s="2" t="s">
        <v>0</v>
      </c>
      <c r="B1" s="2" t="s">
        <v>1</v>
      </c>
      <c r="C1" s="2" t="s">
        <v>2</v>
      </c>
      <c r="D1" s="2" t="s">
        <v>3</v>
      </c>
      <c r="E1" s="2" t="s">
        <v>6</v>
      </c>
      <c r="F1" s="2" t="s">
        <v>4</v>
      </c>
      <c r="G1" s="2" t="s">
        <v>5</v>
      </c>
      <c r="H1" s="2"/>
    </row>
    <row r="2" spans="1:31" x14ac:dyDescent="0.25">
      <c r="A2">
        <v>1234567</v>
      </c>
      <c r="B2" s="8">
        <v>45912</v>
      </c>
      <c r="C2" t="s">
        <v>7</v>
      </c>
      <c r="D2" t="s">
        <v>16</v>
      </c>
      <c r="E2">
        <v>12000</v>
      </c>
      <c r="F2">
        <f t="shared" ref="F2:F11" ca="1" si="0">RANDBETWEEN(1,10)</f>
        <v>10</v>
      </c>
      <c r="G2">
        <f t="shared" ref="G2:G11" ca="1" si="1">E2*F2</f>
        <v>120000</v>
      </c>
    </row>
    <row r="3" spans="1:31" x14ac:dyDescent="0.25">
      <c r="A3">
        <v>1731873</v>
      </c>
      <c r="B3" s="8">
        <v>45923</v>
      </c>
      <c r="C3" t="s">
        <v>8</v>
      </c>
      <c r="D3" t="s">
        <v>15</v>
      </c>
      <c r="E3">
        <v>22300</v>
      </c>
      <c r="F3">
        <f t="shared" ca="1" si="0"/>
        <v>3</v>
      </c>
      <c r="G3">
        <f t="shared" ca="1" si="1"/>
        <v>66900</v>
      </c>
    </row>
    <row r="4" spans="1:31" x14ac:dyDescent="0.25">
      <c r="A4">
        <v>1245674</v>
      </c>
      <c r="B4" s="8">
        <v>45926</v>
      </c>
      <c r="C4" t="s">
        <v>9</v>
      </c>
      <c r="D4" t="s">
        <v>17</v>
      </c>
      <c r="E4">
        <v>12500</v>
      </c>
      <c r="F4">
        <f t="shared" ca="1" si="0"/>
        <v>4</v>
      </c>
      <c r="G4">
        <f t="shared" ca="1" si="1"/>
        <v>50000</v>
      </c>
      <c r="L4" s="3"/>
    </row>
    <row r="5" spans="1:31" x14ac:dyDescent="0.25">
      <c r="A5">
        <v>4321568</v>
      </c>
      <c r="B5" s="8">
        <v>45931</v>
      </c>
      <c r="C5" t="s">
        <v>11</v>
      </c>
      <c r="D5" t="s">
        <v>18</v>
      </c>
      <c r="E5">
        <v>3400</v>
      </c>
      <c r="F5">
        <f t="shared" ca="1" si="0"/>
        <v>8</v>
      </c>
      <c r="G5">
        <f t="shared" ca="1" si="1"/>
        <v>27200</v>
      </c>
      <c r="L5" s="3"/>
    </row>
    <row r="6" spans="1:31" x14ac:dyDescent="0.25">
      <c r="A6">
        <v>4658763</v>
      </c>
      <c r="B6" s="8">
        <v>45935</v>
      </c>
      <c r="C6" t="s">
        <v>12</v>
      </c>
      <c r="D6" t="s">
        <v>28</v>
      </c>
      <c r="E6">
        <v>3400</v>
      </c>
      <c r="F6">
        <f t="shared" ca="1" si="0"/>
        <v>6</v>
      </c>
      <c r="G6">
        <f t="shared" ca="1" si="1"/>
        <v>20400</v>
      </c>
    </row>
    <row r="7" spans="1:31" x14ac:dyDescent="0.25">
      <c r="A7">
        <v>1234678</v>
      </c>
      <c r="B7" s="8">
        <v>45941</v>
      </c>
      <c r="C7" t="s">
        <v>14</v>
      </c>
      <c r="D7" t="s">
        <v>29</v>
      </c>
      <c r="E7">
        <v>1200</v>
      </c>
      <c r="F7">
        <f t="shared" ca="1" si="0"/>
        <v>1</v>
      </c>
      <c r="G7">
        <f t="shared" ca="1" si="1"/>
        <v>1200</v>
      </c>
    </row>
    <row r="8" spans="1:31" x14ac:dyDescent="0.25">
      <c r="A8">
        <v>4335211</v>
      </c>
      <c r="B8" s="8">
        <v>45945</v>
      </c>
      <c r="C8" t="s">
        <v>10</v>
      </c>
      <c r="D8" t="s">
        <v>20</v>
      </c>
      <c r="E8">
        <v>21000</v>
      </c>
      <c r="F8">
        <f t="shared" ca="1" si="0"/>
        <v>9</v>
      </c>
      <c r="G8">
        <f t="shared" ca="1" si="1"/>
        <v>189000</v>
      </c>
    </row>
    <row r="9" spans="1:31" x14ac:dyDescent="0.25">
      <c r="A9">
        <v>1534567</v>
      </c>
      <c r="B9" s="8">
        <v>45948</v>
      </c>
      <c r="C9" t="s">
        <v>22</v>
      </c>
      <c r="D9" t="s">
        <v>24</v>
      </c>
      <c r="E9">
        <v>35000</v>
      </c>
      <c r="F9">
        <f t="shared" ca="1" si="0"/>
        <v>2</v>
      </c>
      <c r="G9">
        <f t="shared" ca="1" si="1"/>
        <v>70000</v>
      </c>
    </row>
    <row r="10" spans="1:31" x14ac:dyDescent="0.25">
      <c r="A10">
        <v>435971</v>
      </c>
      <c r="B10" s="8">
        <v>45952</v>
      </c>
      <c r="C10" t="s">
        <v>19</v>
      </c>
      <c r="D10" t="s">
        <v>23</v>
      </c>
      <c r="E10">
        <v>1250</v>
      </c>
      <c r="F10">
        <f t="shared" ca="1" si="0"/>
        <v>4</v>
      </c>
      <c r="G10">
        <f t="shared" ca="1" si="1"/>
        <v>5000</v>
      </c>
    </row>
    <row r="11" spans="1:31" x14ac:dyDescent="0.25">
      <c r="A11">
        <v>1234560</v>
      </c>
      <c r="B11" s="8">
        <v>45954</v>
      </c>
      <c r="C11" t="s">
        <v>13</v>
      </c>
      <c r="D11" t="s">
        <v>25</v>
      </c>
      <c r="E11">
        <v>27900</v>
      </c>
      <c r="F11">
        <f t="shared" ca="1" si="0"/>
        <v>6</v>
      </c>
      <c r="G11">
        <f t="shared" ca="1" si="1"/>
        <v>167400</v>
      </c>
    </row>
    <row r="12" spans="1:31" x14ac:dyDescent="0.25">
      <c r="G12">
        <f ca="1">SUM(G2:G11)</f>
        <v>717100</v>
      </c>
    </row>
    <row r="13" spans="1:31" x14ac:dyDescent="0.25">
      <c r="D13" t="s">
        <v>21</v>
      </c>
      <c r="T13" t="str">
        <f t="shared" ref="T13:AE13" si="2">PROPER(H5)</f>
        <v/>
      </c>
      <c r="U13" t="str">
        <f t="shared" si="2"/>
        <v/>
      </c>
      <c r="V13" t="str">
        <f t="shared" si="2"/>
        <v/>
      </c>
      <c r="W13" t="str">
        <f t="shared" si="2"/>
        <v/>
      </c>
      <c r="X13" t="str">
        <f t="shared" si="2"/>
        <v/>
      </c>
      <c r="Y13" t="str">
        <f t="shared" si="2"/>
        <v/>
      </c>
      <c r="Z13" t="str">
        <f t="shared" si="2"/>
        <v/>
      </c>
      <c r="AA13" t="str">
        <f t="shared" si="2"/>
        <v/>
      </c>
      <c r="AB13" t="str">
        <f t="shared" si="2"/>
        <v/>
      </c>
      <c r="AC13" t="str">
        <f t="shared" si="2"/>
        <v/>
      </c>
      <c r="AD13" t="str">
        <f t="shared" si="2"/>
        <v/>
      </c>
      <c r="AE13" t="str">
        <f t="shared" si="2"/>
        <v/>
      </c>
    </row>
    <row r="14" spans="1:31" x14ac:dyDescent="0.25">
      <c r="D14" t="s">
        <v>21</v>
      </c>
    </row>
    <row r="15" spans="1:31" x14ac:dyDescent="0.25">
      <c r="D15" t="s">
        <v>21</v>
      </c>
    </row>
    <row r="16" spans="1:31" x14ac:dyDescent="0.25">
      <c r="D16" t="s">
        <v>21</v>
      </c>
    </row>
    <row r="19" spans="11:12" x14ac:dyDescent="0.25">
      <c r="K19" t="str">
        <f>PROPER(D12)</f>
        <v/>
      </c>
    </row>
    <row r="20" spans="11:12" x14ac:dyDescent="0.25">
      <c r="K20" t="str">
        <f>PROPER(D13)</f>
        <v/>
      </c>
    </row>
    <row r="21" spans="11:12" x14ac:dyDescent="0.25">
      <c r="K21" t="str">
        <f>PROPER(D14)</f>
        <v/>
      </c>
    </row>
    <row r="22" spans="11:12" x14ac:dyDescent="0.25">
      <c r="K22" t="str">
        <f>PROPER(D15)</f>
        <v/>
      </c>
    </row>
    <row r="30" spans="11:12" x14ac:dyDescent="0.25">
      <c r="L30" t="str">
        <f>PROPER(D18)</f>
        <v/>
      </c>
    </row>
    <row r="31" spans="11:12" x14ac:dyDescent="0.25">
      <c r="L31" t="str">
        <f>PROPER(D19)</f>
        <v/>
      </c>
    </row>
    <row r="32" spans="11:12" x14ac:dyDescent="0.25">
      <c r="L32" t="str">
        <f>PROPER(D20)</f>
        <v/>
      </c>
    </row>
    <row r="33" spans="12:12" x14ac:dyDescent="0.25">
      <c r="L33" t="str">
        <f>PROPER(D21)</f>
        <v/>
      </c>
    </row>
  </sheetData>
  <sortState ref="A2:G11">
    <sortCondition ref="B2:B1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B3" sqref="B3"/>
    </sheetView>
  </sheetViews>
  <sheetFormatPr defaultRowHeight="15" x14ac:dyDescent="0.25"/>
  <cols>
    <col min="1" max="1" width="13.140625" bestFit="1" customWidth="1"/>
    <col min="2" max="2" width="15.5703125" bestFit="1" customWidth="1"/>
  </cols>
  <sheetData>
    <row r="1" spans="1:2" x14ac:dyDescent="0.25">
      <c r="A1" s="4" t="s">
        <v>26</v>
      </c>
      <c r="B1" t="s">
        <v>27</v>
      </c>
    </row>
    <row r="2" spans="1:2" x14ac:dyDescent="0.25">
      <c r="A2" s="1" t="s">
        <v>9</v>
      </c>
      <c r="B2" s="5">
        <v>37500</v>
      </c>
    </row>
    <row r="3" spans="1:2" x14ac:dyDescent="0.25">
      <c r="A3" s="1" t="s">
        <v>13</v>
      </c>
      <c r="B3" s="5">
        <v>279000</v>
      </c>
    </row>
    <row r="4" spans="1:2" x14ac:dyDescent="0.25">
      <c r="A4" s="1" t="s">
        <v>7</v>
      </c>
      <c r="B4" s="5">
        <v>48000</v>
      </c>
    </row>
    <row r="5" spans="1:2" x14ac:dyDescent="0.25">
      <c r="A5" s="1" t="s">
        <v>14</v>
      </c>
      <c r="B5" s="5">
        <v>1200</v>
      </c>
    </row>
    <row r="6" spans="1:2" x14ac:dyDescent="0.25">
      <c r="A6" s="1" t="s">
        <v>12</v>
      </c>
      <c r="B6" s="5">
        <v>20400</v>
      </c>
    </row>
    <row r="7" spans="1:2" x14ac:dyDescent="0.25">
      <c r="A7" s="1" t="s">
        <v>10</v>
      </c>
      <c r="B7" s="5">
        <v>210000</v>
      </c>
    </row>
    <row r="8" spans="1:2" x14ac:dyDescent="0.25">
      <c r="A8" s="1" t="s">
        <v>11</v>
      </c>
      <c r="B8" s="5">
        <v>30600</v>
      </c>
    </row>
    <row r="9" spans="1:2" x14ac:dyDescent="0.25">
      <c r="A9" s="1" t="s">
        <v>8</v>
      </c>
      <c r="B9" s="5">
        <v>44600</v>
      </c>
    </row>
    <row r="10" spans="1:2" x14ac:dyDescent="0.25">
      <c r="A10" s="1" t="s">
        <v>22</v>
      </c>
      <c r="B10" s="5">
        <v>140000</v>
      </c>
    </row>
    <row r="11" spans="1:2" x14ac:dyDescent="0.25">
      <c r="A11" s="1" t="s">
        <v>19</v>
      </c>
      <c r="B11" s="5">
        <v>6250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election activeCell="K20" sqref="K20"/>
    </sheetView>
  </sheetViews>
  <sheetFormatPr defaultRowHeight="15" x14ac:dyDescent="0.25"/>
  <cols>
    <col min="1" max="1" width="17.28515625" bestFit="1" customWidth="1"/>
    <col min="2" max="2" width="15.5703125" bestFit="1" customWidth="1"/>
  </cols>
  <sheetData>
    <row r="1" spans="1:2" x14ac:dyDescent="0.25">
      <c r="A1" s="4" t="s">
        <v>26</v>
      </c>
      <c r="B1" t="s">
        <v>27</v>
      </c>
    </row>
    <row r="2" spans="1:2" x14ac:dyDescent="0.25">
      <c r="A2" s="1" t="s">
        <v>29</v>
      </c>
      <c r="B2" s="5">
        <v>1200</v>
      </c>
    </row>
    <row r="3" spans="1:2" x14ac:dyDescent="0.25">
      <c r="A3" s="1" t="s">
        <v>28</v>
      </c>
      <c r="B3" s="5">
        <v>20400</v>
      </c>
    </row>
    <row r="4" spans="1:2" x14ac:dyDescent="0.25">
      <c r="A4" s="1" t="s">
        <v>16</v>
      </c>
      <c r="B4" s="5">
        <v>48000</v>
      </c>
    </row>
    <row r="5" spans="1:2" x14ac:dyDescent="0.25">
      <c r="A5" s="1" t="s">
        <v>24</v>
      </c>
      <c r="B5" s="5">
        <v>140000</v>
      </c>
    </row>
    <row r="6" spans="1:2" x14ac:dyDescent="0.25">
      <c r="A6" s="1" t="s">
        <v>15</v>
      </c>
      <c r="B6" s="5">
        <v>44600</v>
      </c>
    </row>
    <row r="7" spans="1:2" x14ac:dyDescent="0.25">
      <c r="A7" s="1" t="s">
        <v>18</v>
      </c>
      <c r="B7" s="5">
        <v>30600</v>
      </c>
    </row>
    <row r="8" spans="1:2" x14ac:dyDescent="0.25">
      <c r="A8" s="1" t="s">
        <v>23</v>
      </c>
      <c r="B8" s="5">
        <v>6250</v>
      </c>
    </row>
    <row r="9" spans="1:2" x14ac:dyDescent="0.25">
      <c r="A9" s="1" t="s">
        <v>17</v>
      </c>
      <c r="B9" s="5">
        <v>37500</v>
      </c>
    </row>
    <row r="10" spans="1:2" x14ac:dyDescent="0.25">
      <c r="A10" s="1" t="s">
        <v>25</v>
      </c>
      <c r="B10" s="5">
        <v>279000</v>
      </c>
    </row>
    <row r="11" spans="1:2" x14ac:dyDescent="0.25">
      <c r="A11" s="1" t="s">
        <v>20</v>
      </c>
      <c r="B11" s="5">
        <v>210000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5"/>
  <sheetViews>
    <sheetView tabSelected="1" zoomScale="61" workbookViewId="0">
      <selection activeCell="Y31" sqref="Y31"/>
    </sheetView>
  </sheetViews>
  <sheetFormatPr defaultRowHeight="15" x14ac:dyDescent="0.25"/>
  <sheetData>
    <row r="1" spans="1:30" x14ac:dyDescent="0.25">
      <c r="A1" s="9"/>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x14ac:dyDescent="0.25">
      <c r="A3" s="9"/>
      <c r="B3" s="9"/>
      <c r="C3" s="9"/>
      <c r="D3" s="9"/>
      <c r="E3" s="9"/>
      <c r="F3" s="9"/>
      <c r="G3" s="9"/>
      <c r="H3" s="9"/>
      <c r="I3" s="9"/>
      <c r="J3" s="9"/>
      <c r="K3" s="9"/>
      <c r="L3" s="9"/>
      <c r="M3" s="9"/>
      <c r="N3" s="9"/>
      <c r="O3" s="9"/>
      <c r="P3" s="9"/>
      <c r="Q3" s="9"/>
      <c r="R3" s="9"/>
      <c r="S3" s="9"/>
      <c r="T3" s="9"/>
      <c r="U3" s="9"/>
      <c r="V3" s="9"/>
      <c r="W3" s="9"/>
      <c r="X3" s="9"/>
      <c r="Y3" s="9"/>
      <c r="Z3" s="9"/>
      <c r="AA3" s="9"/>
      <c r="AB3" s="9"/>
      <c r="AC3" s="9"/>
      <c r="AD3" s="9"/>
    </row>
    <row r="4" spans="1:30"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row>
    <row r="5" spans="1:30"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row>
    <row r="6" spans="1:30"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row>
    <row r="7" spans="1:30" x14ac:dyDescent="0.25">
      <c r="A7" s="9"/>
      <c r="B7" s="9"/>
      <c r="C7" s="9"/>
      <c r="D7" s="9"/>
      <c r="E7" s="9"/>
      <c r="F7" s="9"/>
      <c r="G7" s="9"/>
      <c r="H7" s="9"/>
      <c r="I7" s="9"/>
      <c r="J7" s="9"/>
      <c r="K7" s="9"/>
      <c r="L7" s="9"/>
      <c r="M7" s="9"/>
      <c r="N7" s="9"/>
      <c r="O7" s="9"/>
      <c r="P7" s="9"/>
      <c r="Q7" s="9"/>
      <c r="R7" s="9"/>
      <c r="S7" s="9"/>
      <c r="T7" s="9"/>
      <c r="U7" s="9"/>
      <c r="V7" s="9"/>
      <c r="W7" s="9"/>
      <c r="X7" s="9"/>
      <c r="Y7" s="9"/>
      <c r="Z7" s="9"/>
      <c r="AA7" s="9"/>
      <c r="AB7" s="9"/>
      <c r="AC7" s="9"/>
      <c r="AD7" s="9"/>
    </row>
    <row r="8" spans="1:30" x14ac:dyDescent="0.25">
      <c r="A8" s="9"/>
      <c r="B8" s="9"/>
      <c r="C8" s="9"/>
      <c r="D8" s="9"/>
      <c r="E8" s="9"/>
      <c r="F8" s="9"/>
      <c r="G8" s="9"/>
      <c r="H8" s="9"/>
      <c r="I8" s="9"/>
      <c r="J8" s="9"/>
      <c r="K8" s="9"/>
      <c r="L8" s="9"/>
      <c r="M8" s="9"/>
      <c r="N8" s="9"/>
      <c r="O8" s="9"/>
      <c r="P8" s="9"/>
      <c r="Q8" s="9"/>
      <c r="R8" s="9"/>
      <c r="S8" s="9"/>
      <c r="T8" s="9"/>
      <c r="U8" s="9"/>
      <c r="V8" s="9"/>
      <c r="W8" s="9"/>
      <c r="X8" s="9"/>
      <c r="Y8" s="9"/>
      <c r="Z8" s="9"/>
      <c r="AA8" s="9"/>
      <c r="AB8" s="9"/>
      <c r="AC8" s="9"/>
      <c r="AD8" s="9"/>
    </row>
    <row r="9" spans="1:30" x14ac:dyDescent="0.25">
      <c r="A9" s="9"/>
      <c r="B9" s="9"/>
      <c r="C9" s="9"/>
      <c r="D9" s="9"/>
      <c r="E9" s="9"/>
      <c r="F9" s="9"/>
      <c r="G9" s="9"/>
      <c r="H9" s="9"/>
      <c r="I9" s="9"/>
      <c r="J9" s="9"/>
      <c r="K9" s="9"/>
      <c r="L9" s="9"/>
      <c r="M9" s="9"/>
      <c r="N9" s="9"/>
      <c r="O9" s="9"/>
      <c r="P9" s="9"/>
      <c r="Q9" s="9"/>
      <c r="R9" s="9"/>
      <c r="S9" s="9"/>
      <c r="T9" s="9"/>
      <c r="U9" s="9"/>
      <c r="V9" s="9"/>
      <c r="W9" s="9"/>
      <c r="X9" s="9"/>
      <c r="Y9" s="9"/>
      <c r="Z9" s="9"/>
      <c r="AA9" s="9"/>
      <c r="AB9" s="9"/>
      <c r="AC9" s="9"/>
      <c r="AD9" s="9"/>
    </row>
    <row r="10" spans="1:30" x14ac:dyDescent="0.25">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row>
    <row r="11" spans="1:30" x14ac:dyDescent="0.25">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row>
    <row r="12" spans="1:30" x14ac:dyDescent="0.25">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row>
    <row r="13" spans="1:30" x14ac:dyDescent="0.25">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row>
    <row r="14" spans="1:30" x14ac:dyDescent="0.25">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row>
    <row r="15" spans="1:30" x14ac:dyDescent="0.2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x14ac:dyDescent="0.25">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row>
    <row r="17" spans="1:30" x14ac:dyDescent="0.25">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2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row>
    <row r="19" spans="1:30" x14ac:dyDescent="0.2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row>
    <row r="20" spans="1:30" x14ac:dyDescent="0.2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row>
    <row r="21" spans="1:30" x14ac:dyDescent="0.2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row>
    <row r="22" spans="1:30" x14ac:dyDescent="0.2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row>
    <row r="23" spans="1:30" x14ac:dyDescent="0.2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row>
    <row r="24" spans="1:30" x14ac:dyDescent="0.25">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row>
    <row r="25" spans="1:30" x14ac:dyDescent="0.2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row>
    <row r="26" spans="1:30" x14ac:dyDescent="0.2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row>
    <row r="27" spans="1:30" x14ac:dyDescent="0.2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row>
    <row r="28" spans="1:30"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row>
    <row r="29" spans="1:30" x14ac:dyDescent="0.2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row>
    <row r="30" spans="1:30" x14ac:dyDescent="0.2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x14ac:dyDescent="0.2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row>
    <row r="32" spans="1:30" x14ac:dyDescent="0.2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row>
    <row r="33" spans="1:30" x14ac:dyDescent="0.2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row>
    <row r="34" spans="1:30" x14ac:dyDescent="0.2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row>
    <row r="35" spans="1:30" x14ac:dyDescent="0.2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x14ac:dyDescent="0.2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row>
    <row r="37" spans="1:30" x14ac:dyDescent="0.2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row>
    <row r="38" spans="1:30"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row>
    <row r="39" spans="1:30" x14ac:dyDescent="0.2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row>
    <row r="40" spans="1:30" x14ac:dyDescent="0.2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row>
    <row r="41" spans="1:30" x14ac:dyDescent="0.2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row>
    <row r="42" spans="1:30" x14ac:dyDescent="0.25">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row>
    <row r="43" spans="1:30" x14ac:dyDescent="0.25">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row>
    <row r="44" spans="1:30" x14ac:dyDescent="0.25">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row>
    <row r="45" spans="1:30" x14ac:dyDescent="0.2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topLeftCell="A18" zoomScale="105" workbookViewId="0">
      <selection activeCell="I37" sqref="I37"/>
    </sheetView>
  </sheetViews>
  <sheetFormatPr defaultRowHeight="15" x14ac:dyDescent="0.25"/>
  <cols>
    <col min="1" max="1" width="17.28515625" customWidth="1"/>
    <col min="2" max="2" width="15.42578125" customWidth="1"/>
    <col min="3" max="3" width="11.7109375" customWidth="1"/>
  </cols>
  <sheetData>
    <row r="1" spans="1:3" x14ac:dyDescent="0.25">
      <c r="A1" s="4" t="s">
        <v>26</v>
      </c>
      <c r="B1" t="s">
        <v>31</v>
      </c>
      <c r="C1" t="s">
        <v>32</v>
      </c>
    </row>
    <row r="2" spans="1:3" x14ac:dyDescent="0.25">
      <c r="A2" s="1" t="s">
        <v>29</v>
      </c>
      <c r="B2" s="5">
        <v>1</v>
      </c>
      <c r="C2" s="6">
        <f>B2/$B$12</f>
        <v>1.8518518518518517E-2</v>
      </c>
    </row>
    <row r="3" spans="1:3" x14ac:dyDescent="0.25">
      <c r="A3" s="1" t="s">
        <v>28</v>
      </c>
      <c r="B3" s="5">
        <v>6</v>
      </c>
      <c r="C3" s="6">
        <f t="shared" ref="C3:C12" si="0">B3/$B$12</f>
        <v>0.1111111111111111</v>
      </c>
    </row>
    <row r="4" spans="1:3" x14ac:dyDescent="0.25">
      <c r="A4" s="1" t="s">
        <v>16</v>
      </c>
      <c r="B4" s="5">
        <v>4</v>
      </c>
      <c r="C4" s="6">
        <f t="shared" si="0"/>
        <v>7.407407407407407E-2</v>
      </c>
    </row>
    <row r="5" spans="1:3" x14ac:dyDescent="0.25">
      <c r="A5" s="1" t="s">
        <v>24</v>
      </c>
      <c r="B5" s="5">
        <v>4</v>
      </c>
      <c r="C5" s="6">
        <f t="shared" si="0"/>
        <v>7.407407407407407E-2</v>
      </c>
    </row>
    <row r="6" spans="1:3" x14ac:dyDescent="0.25">
      <c r="A6" s="1" t="s">
        <v>15</v>
      </c>
      <c r="B6" s="5">
        <v>2</v>
      </c>
      <c r="C6" s="6">
        <f t="shared" si="0"/>
        <v>3.7037037037037035E-2</v>
      </c>
    </row>
    <row r="7" spans="1:3" x14ac:dyDescent="0.25">
      <c r="A7" s="1" t="s">
        <v>18</v>
      </c>
      <c r="B7" s="5">
        <v>9</v>
      </c>
      <c r="C7" s="6">
        <f t="shared" si="0"/>
        <v>0.16666666666666666</v>
      </c>
    </row>
    <row r="8" spans="1:3" x14ac:dyDescent="0.25">
      <c r="A8" s="1" t="s">
        <v>23</v>
      </c>
      <c r="B8" s="5">
        <v>5</v>
      </c>
      <c r="C8" s="6">
        <f t="shared" si="0"/>
        <v>9.2592592592592587E-2</v>
      </c>
    </row>
    <row r="9" spans="1:3" x14ac:dyDescent="0.25">
      <c r="A9" s="1" t="s">
        <v>17</v>
      </c>
      <c r="B9" s="5">
        <v>3</v>
      </c>
      <c r="C9" s="6">
        <f t="shared" si="0"/>
        <v>5.5555555555555552E-2</v>
      </c>
    </row>
    <row r="10" spans="1:3" x14ac:dyDescent="0.25">
      <c r="A10" s="1" t="s">
        <v>25</v>
      </c>
      <c r="B10" s="5">
        <v>10</v>
      </c>
      <c r="C10" s="6">
        <f t="shared" si="0"/>
        <v>0.18518518518518517</v>
      </c>
    </row>
    <row r="11" spans="1:3" x14ac:dyDescent="0.25">
      <c r="A11" s="1" t="s">
        <v>20</v>
      </c>
      <c r="B11" s="5">
        <v>10</v>
      </c>
      <c r="C11" s="6">
        <f t="shared" si="0"/>
        <v>0.18518518518518517</v>
      </c>
    </row>
    <row r="12" spans="1:3" x14ac:dyDescent="0.25">
      <c r="A12" s="1" t="s">
        <v>30</v>
      </c>
      <c r="B12" s="5">
        <v>54</v>
      </c>
      <c r="C12" s="6">
        <f t="shared" si="0"/>
        <v>1</v>
      </c>
    </row>
    <row r="21" spans="1:2" x14ac:dyDescent="0.25">
      <c r="A21" s="4" t="s">
        <v>26</v>
      </c>
      <c r="B21" t="s">
        <v>27</v>
      </c>
    </row>
    <row r="22" spans="1:2" x14ac:dyDescent="0.25">
      <c r="A22" s="7" t="s">
        <v>41</v>
      </c>
      <c r="B22" s="5">
        <v>30600</v>
      </c>
    </row>
    <row r="23" spans="1:2" x14ac:dyDescent="0.25">
      <c r="A23" s="7" t="s">
        <v>42</v>
      </c>
      <c r="B23" s="5">
        <v>20400</v>
      </c>
    </row>
    <row r="24" spans="1:2" x14ac:dyDescent="0.25">
      <c r="A24" s="7" t="s">
        <v>37</v>
      </c>
      <c r="B24" s="5">
        <v>1200</v>
      </c>
    </row>
    <row r="25" spans="1:2" x14ac:dyDescent="0.25">
      <c r="A25" s="7" t="s">
        <v>38</v>
      </c>
      <c r="B25" s="5">
        <v>48000</v>
      </c>
    </row>
    <row r="26" spans="1:2" x14ac:dyDescent="0.25">
      <c r="A26" s="7" t="s">
        <v>36</v>
      </c>
      <c r="B26" s="5">
        <v>210000</v>
      </c>
    </row>
    <row r="27" spans="1:2" x14ac:dyDescent="0.25">
      <c r="A27" s="7" t="s">
        <v>33</v>
      </c>
      <c r="B27" s="5">
        <v>140000</v>
      </c>
    </row>
    <row r="28" spans="1:2" x14ac:dyDescent="0.25">
      <c r="A28" s="7" t="s">
        <v>34</v>
      </c>
      <c r="B28" s="5">
        <v>6250</v>
      </c>
    </row>
    <row r="29" spans="1:2" x14ac:dyDescent="0.25">
      <c r="A29" s="7" t="s">
        <v>39</v>
      </c>
      <c r="B29" s="5">
        <v>44600</v>
      </c>
    </row>
    <row r="30" spans="1:2" x14ac:dyDescent="0.25">
      <c r="A30" s="7" t="s">
        <v>35</v>
      </c>
      <c r="B30" s="5">
        <v>279000</v>
      </c>
    </row>
    <row r="31" spans="1:2" x14ac:dyDescent="0.25">
      <c r="A31" s="7" t="s">
        <v>40</v>
      </c>
      <c r="B31" s="5">
        <v>37500</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D13"/>
  <sheetViews>
    <sheetView workbookViewId="0">
      <selection activeCell="C4" sqref="C4"/>
    </sheetView>
  </sheetViews>
  <sheetFormatPr defaultRowHeight="15" x14ac:dyDescent="0.25"/>
  <cols>
    <col min="3" max="3" width="13.140625" bestFit="1" customWidth="1"/>
    <col min="4" max="4" width="15.42578125" bestFit="1" customWidth="1"/>
  </cols>
  <sheetData>
    <row r="4" spans="3:4" x14ac:dyDescent="0.25">
      <c r="C4" s="4" t="s">
        <v>26</v>
      </c>
      <c r="D4" t="s">
        <v>31</v>
      </c>
    </row>
    <row r="5" spans="3:4" x14ac:dyDescent="0.25">
      <c r="C5" s="1">
        <v>1200</v>
      </c>
      <c r="D5" s="5">
        <v>1</v>
      </c>
    </row>
    <row r="6" spans="3:4" x14ac:dyDescent="0.25">
      <c r="C6" s="1">
        <v>1250</v>
      </c>
      <c r="D6" s="5">
        <v>5</v>
      </c>
    </row>
    <row r="7" spans="3:4" x14ac:dyDescent="0.25">
      <c r="C7" s="1">
        <v>3400</v>
      </c>
      <c r="D7" s="5">
        <v>15</v>
      </c>
    </row>
    <row r="8" spans="3:4" x14ac:dyDescent="0.25">
      <c r="C8" s="1">
        <v>12000</v>
      </c>
      <c r="D8" s="5">
        <v>4</v>
      </c>
    </row>
    <row r="9" spans="3:4" x14ac:dyDescent="0.25">
      <c r="C9" s="1">
        <v>12500</v>
      </c>
      <c r="D9" s="5">
        <v>3</v>
      </c>
    </row>
    <row r="10" spans="3:4" x14ac:dyDescent="0.25">
      <c r="C10" s="1">
        <v>21000</v>
      </c>
      <c r="D10" s="5">
        <v>10</v>
      </c>
    </row>
    <row r="11" spans="3:4" x14ac:dyDescent="0.25">
      <c r="C11" s="1">
        <v>22300</v>
      </c>
      <c r="D11" s="5">
        <v>2</v>
      </c>
    </row>
    <row r="12" spans="3:4" x14ac:dyDescent="0.25">
      <c r="C12" s="1">
        <v>27900</v>
      </c>
      <c r="D12" s="5">
        <v>10</v>
      </c>
    </row>
    <row r="13" spans="3:4" x14ac:dyDescent="0.25">
      <c r="C13" s="1">
        <v>35000</v>
      </c>
      <c r="D13" s="5">
        <v>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vt:lpstr>
      <vt:lpstr>city wise revenue </vt:lpstr>
      <vt:lpstr>sale by product </vt:lpstr>
      <vt:lpstr>dashboard analysis </vt:lpstr>
      <vt:lpstr>Quantity sold </vt:lpstr>
      <vt:lpstr>PRICE VS QUANTITY </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vasu jain</dc:creator>
  <cp:lastModifiedBy>vasu jain</cp:lastModifiedBy>
  <dcterms:created xsi:type="dcterms:W3CDTF">2026-03-21T08:20:35Z</dcterms:created>
  <dcterms:modified xsi:type="dcterms:W3CDTF">2026-03-24T10:42:57Z</dcterms:modified>
</cp:coreProperties>
</file>